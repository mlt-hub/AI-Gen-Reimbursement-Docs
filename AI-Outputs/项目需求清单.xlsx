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111" windowHeight="19251" tabRatio="600" firstSheet="0" activeTab="1" autoFilterDateGrouping="1"/>
  </bookViews>
  <sheets>
    <sheet xmlns:r="http://schemas.openxmlformats.org/officeDocument/2006/relationships" name="项目信息概览" sheetId="1" state="visible" r:id="rId1"/>
    <sheet xmlns:r="http://schemas.openxmlformats.org/officeDocument/2006/relationships" name="功能清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"/>
    <numFmt numFmtId="165" formatCode="0_ "/>
  </numFmts>
  <fonts count="26">
    <font>
      <name val="宋体"/>
      <charset val="134"/>
      <color theme="1"/>
      <sz val="11"/>
      <scheme val="minor"/>
    </font>
    <font>
      <name val="微软雅黑"/>
      <charset val="134"/>
      <color theme="1"/>
      <sz val="18"/>
    </font>
    <font>
      <name val="微软雅黑"/>
      <charset val="134"/>
      <color theme="1"/>
      <sz val="16"/>
    </font>
    <font>
      <name val="宋体"/>
      <charset val="134"/>
      <color theme="1"/>
      <sz val="12"/>
    </font>
    <font>
      <name val="宋体"/>
      <charset val="134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7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8" applyAlignment="1">
      <alignment vertical="center"/>
    </xf>
    <xf numFmtId="0" fontId="11" fillId="0" borderId="8" applyAlignment="1">
      <alignment vertical="center"/>
    </xf>
    <xf numFmtId="0" fontId="12" fillId="0" borderId="9" applyAlignment="1">
      <alignment vertical="center"/>
    </xf>
    <xf numFmtId="0" fontId="12" fillId="0" borderId="0" applyAlignment="1">
      <alignment vertical="center"/>
    </xf>
    <xf numFmtId="0" fontId="13" fillId="3" borderId="10" applyAlignment="1">
      <alignment vertical="center"/>
    </xf>
    <xf numFmtId="0" fontId="14" fillId="4" borderId="11" applyAlignment="1">
      <alignment vertical="center"/>
    </xf>
    <xf numFmtId="0" fontId="15" fillId="4" borderId="10" applyAlignment="1">
      <alignment vertical="center"/>
    </xf>
    <xf numFmtId="0" fontId="16" fillId="5" borderId="12" applyAlignment="1">
      <alignment vertical="center"/>
    </xf>
    <xf numFmtId="0" fontId="17" fillId="0" borderId="13" applyAlignment="1">
      <alignment vertical="center"/>
    </xf>
    <xf numFmtId="0" fontId="18" fillId="0" borderId="14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 </author>
  </authors>
  <commentList>
    <comment ref="C2" authorId="0" shapeId="0">
      <text>
        <t xml:space="preserve"> :
若无，可空</t>
      </text>
    </comment>
    <comment ref="D2" authorId="0" shapeId="0">
      <text>
        <t xml:space="preserve"> :
结算、预算二选一，从下拉列表选择</t>
      </text>
    </comment>
    <comment ref="E2" authorId="0" shapeId="0">
      <text>
        <t xml:space="preserve"> :
B、O、M三选一，从下拉列表选择</t>
      </text>
    </comment>
    <comment ref="F2" authorId="0" shapeId="0">
      <text>
        <t xml:space="preserve"> :
据实填写</t>
      </text>
    </comment>
    <comment ref="G2" authorId="0" shapeId="0">
      <text>
        <t xml:space="preserve"> :
据实填写</t>
      </text>
    </comment>
    <comment ref="H2" authorId="0" shapeId="0">
      <text>
        <t xml:space="preserve"> :
据实填写</t>
      </text>
    </comment>
    <comment ref="I2" authorId="0" shapeId="0">
      <text>
        <t xml:space="preserve"> :
据实填写</t>
      </text>
    </comment>
    <comment ref="J2" authorId="0" shapeId="0">
      <text>
        <t xml:space="preserve"> :
单位：人天
与功能清单中的H列一致</t>
      </text>
    </comment>
    <comment ref="K2" authorId="0" shapeId="0">
      <text>
        <t xml:space="preserve"> :
单位：个
与功能清单中的I列一致</t>
      </text>
    </comment>
  </commentList>
</comments>
</file>

<file path=xl/comments/comment2.xml><?xml version="1.0" encoding="utf-8"?>
<comments xmlns="http://schemas.openxmlformats.org/spreadsheetml/2006/main">
  <authors>
    <author> </author>
  </authors>
  <commentList>
    <comment ref="B2" authorId="0" shapeId="0">
      <text>
        <t xml:space="preserve"> :
客户需求</t>
      </text>
    </comment>
    <comment ref="F2" authorId="0" shapeId="0">
      <text>
        <t xml:space="preserve"> :
若无，可空</t>
      </text>
    </comment>
    <comment ref="G2" authorId="0" shapeId="0">
      <text>
        <t xml:space="preserve"> :
（新增或优化）</t>
      </text>
    </comment>
    <comment ref="H2" authorId="0" shapeId="0">
      <text>
        <t xml:space="preserve"> :
单位：人天，以子系统为度填报</t>
      </text>
    </comment>
    <comment ref="I2" authorId="0" shapeId="0">
      <text>
        <t xml:space="preserve"> :
单位：个
等于附件2XX项目需求规模表的行数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opLeftCell="B1" workbookViewId="0">
      <selection activeCell="D42" sqref="D42"/>
    </sheetView>
  </sheetViews>
  <sheetFormatPr baseColWidth="8" defaultColWidth="8.75675675675676" defaultRowHeight="14.1"/>
  <cols>
    <col width="5.5045045045045" customWidth="1" style="20" min="1" max="1"/>
    <col width="20.6306306306306" customWidth="1" style="20" min="2" max="2"/>
    <col width="41.2522522522523" customWidth="1" style="20" min="3" max="3"/>
    <col width="18.0540540540541" customWidth="1" style="20" min="4" max="4"/>
    <col width="19.4684684684685" customWidth="1" style="20" min="5" max="5"/>
    <col width="13.5045045045045" customWidth="1" style="20" min="6" max="6"/>
    <col width="17.6306306306306" customWidth="1" style="20" min="7" max="7"/>
    <col width="19.2252252252252" customWidth="1" style="20" min="8" max="8"/>
    <col width="27.3873873873874" customWidth="1" style="20" min="9" max="9"/>
    <col width="28.0540540540541" customWidth="1" style="20" min="10" max="10"/>
    <col width="24.027027027027" customWidth="1" style="20" min="11" max="11"/>
  </cols>
  <sheetData>
    <row r="1" ht="32" customHeight="1" s="28">
      <c r="A1" s="2" t="inlineStr">
        <is>
          <t>【工单标题】项目送审信息概览（非必选）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30" t="n"/>
    </row>
    <row r="2" ht="32" customHeight="1" s="28">
      <c r="A2" s="3" t="inlineStr">
        <is>
          <t>序号</t>
        </is>
      </c>
      <c r="B2" s="5" t="inlineStr">
        <is>
          <t>【工单标题】</t>
        </is>
      </c>
      <c r="C2" s="5" t="inlineStr">
        <is>
          <t>COM-1-福建移动和乐业数字生活平台</t>
        </is>
      </c>
      <c r="D2" s="5" t="inlineStr">
        <is>
          <t>结算</t>
        </is>
      </c>
      <c r="E2" s="5" t="inlineStr">
        <is>
          <t>B</t>
        </is>
      </c>
      <c r="F2" s="3" t="inlineStr">
        <is>
          <t>基础平台系统</t>
        </is>
      </c>
      <c r="G2" s="3" t="inlineStr">
        <is>
          <t>市场经营部</t>
        </is>
      </c>
      <c r="H2" s="3" t="inlineStr">
        <is>
          <t>卞蕾</t>
        </is>
      </c>
      <c r="I2" s="3" t="inlineStr">
        <is>
          <t>13950406998</t>
        </is>
      </c>
      <c r="J2" s="5">
        <f>'5、预估工作量和FPA核减后的工作量元数据录入'!B3</f>
        <v/>
      </c>
      <c r="K2" s="5" t="n">
        <v>157</v>
      </c>
    </row>
    <row r="3" ht="30" customHeight="1" s="28">
      <c r="A3" s="21" t="n">
        <v>1</v>
      </c>
      <c r="B3" s="22" t="inlineStr">
        <is>
          <t>关于构建垂直行业场景化营销的需求</t>
        </is>
      </c>
      <c r="C3" s="23" t="inlineStr">
        <is>
          <t>COM-1-福建移动和乐业数字生活平台</t>
        </is>
      </c>
      <c r="D3" s="24" t="inlineStr">
        <is>
          <t>结算</t>
        </is>
      </c>
      <c r="E3" s="24" t="inlineStr">
        <is>
          <t>B</t>
        </is>
      </c>
      <c r="F3" s="24" t="inlineStr">
        <is>
          <t>基础平台系统</t>
        </is>
      </c>
      <c r="G3" s="24" t="inlineStr">
        <is>
          <t>市场经营部</t>
        </is>
      </c>
      <c r="H3" s="24" t="inlineStr">
        <is>
          <t>卞蕾</t>
        </is>
      </c>
      <c r="I3" s="24" t="n">
        <v>13950406998</v>
      </c>
      <c r="J3" s="24">
        <f>SUM(J2:J2)</f>
        <v/>
      </c>
      <c r="K3" s="24">
        <f>SUM(K2:K2)</f>
        <v/>
      </c>
    </row>
    <row r="4" ht="34" customHeight="1" s="28">
      <c r="A4" s="25" t="inlineStr">
        <is>
          <t>合计</t>
        </is>
      </c>
      <c r="B4" s="29" t="n"/>
      <c r="C4" s="29" t="n"/>
      <c r="D4" s="29" t="n"/>
      <c r="E4" s="29" t="n"/>
      <c r="F4" s="29" t="n"/>
      <c r="G4" s="29" t="n"/>
      <c r="H4" s="29" t="n"/>
      <c r="I4" s="29" t="n"/>
      <c r="J4" s="24">
        <f>SUM(J3:J3)</f>
        <v/>
      </c>
      <c r="K4" s="24">
        <f>SUM(K3:K3)</f>
        <v/>
      </c>
    </row>
    <row r="5" ht="15" customHeight="1" s="28"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</row>
    <row r="7" hidden="1" s="28">
      <c r="D7" s="20" t="inlineStr">
        <is>
          <t>预算</t>
        </is>
      </c>
      <c r="E7" s="20" t="inlineStr">
        <is>
          <t>B</t>
        </is>
      </c>
    </row>
    <row r="8" hidden="1" s="28">
      <c r="D8" s="20" t="inlineStr">
        <is>
          <t>结算</t>
        </is>
      </c>
      <c r="E8" s="20" t="inlineStr">
        <is>
          <t>M</t>
        </is>
      </c>
    </row>
    <row r="9" hidden="1" s="28">
      <c r="E9" s="20" t="inlineStr">
        <is>
          <t>O</t>
        </is>
      </c>
    </row>
    <row r="12" s="28"/>
    <row r="13" s="28"/>
    <row r="14" s="28"/>
  </sheetData>
  <mergeCells count="2">
    <mergeCell ref="A4:I4"/>
    <mergeCell ref="A1:K1"/>
  </mergeCells>
  <dataValidations count="2">
    <dataValidation sqref="D3" showDropDown="0" showInputMessage="1" showErrorMessage="1" allowBlank="1" type="list">
      <formula1>$D$7:$D$8</formula1>
    </dataValidation>
    <dataValidation sqref="E3" showDropDown="0" showInputMessage="1" showErrorMessage="1" allowBlank="1" type="list">
      <formula1>$E$7:$E$9</formula1>
    </dataValidation>
  </dataValidation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topLeftCell="B1" zoomScale="76" zoomScaleNormal="76" workbookViewId="0">
      <selection activeCell="C3" sqref="C3:C20"/>
    </sheetView>
  </sheetViews>
  <sheetFormatPr baseColWidth="8" defaultColWidth="8.72972972972973" defaultRowHeight="14.1"/>
  <cols>
    <col width="14.009009009009" customWidth="1" style="28" min="1" max="1"/>
    <col width="22.3333333333333" customWidth="1" style="28" min="2" max="2"/>
    <col width="25.8198198198198" customWidth="1" style="28" min="3" max="3"/>
    <col width="24.7297297297297" customWidth="1" style="28" min="4" max="4"/>
    <col width="25.027027027027" customWidth="1" style="28" min="5" max="5"/>
    <col width="29.5135135135135" customWidth="1" style="28" min="6" max="6"/>
    <col width="20.5495495495495" customWidth="1" style="28" min="7" max="7"/>
    <col width="27.9099099099099" customWidth="1" style="28" min="8" max="8"/>
    <col width="33.6396396396396" customWidth="1" style="28" min="9" max="9"/>
  </cols>
  <sheetData>
    <row r="1" ht="24.85" customHeight="1" s="28">
      <c r="A1" s="2" t="inlineStr">
        <is>
          <t>【工单标题】项目送审功能清单(非必选)</t>
        </is>
      </c>
    </row>
    <row r="2" ht="50" customFormat="1" customHeight="1" s="1">
      <c r="A2" s="3" t="inlineStr">
        <is>
          <t>需求序号</t>
        </is>
      </c>
      <c r="B2" s="5" t="inlineStr">
        <is>
          <t>项目名称</t>
        </is>
      </c>
      <c r="C2" s="5" t="inlineStr">
        <is>
          <t>子系统</t>
        </is>
      </c>
      <c r="D2" s="5" t="inlineStr">
        <is>
          <t>一级功能模块名称</t>
        </is>
      </c>
      <c r="E2" s="5" t="inlineStr">
        <is>
          <t>二级功能模块名称</t>
        </is>
      </c>
      <c r="F2" s="3" t="inlineStr">
        <is>
          <t>三级功能模块名称</t>
        </is>
      </c>
      <c r="G2" s="5" t="inlineStr">
        <is>
          <t>类型</t>
        </is>
      </c>
      <c r="H2" s="5" t="inlineStr">
        <is>
          <t>送审工作量</t>
        </is>
      </c>
      <c r="I2" s="5" t="inlineStr">
        <is>
          <t>送审功能点</t>
        </is>
      </c>
    </row>
    <row r="3" ht="15" customFormat="1" customHeight="1" s="1">
      <c r="A3" s="24" t="n">
        <v>1</v>
      </c>
      <c r="B3" s="31" t="inlineStr">
        <is>
          <t>【工单标题】</t>
        </is>
      </c>
      <c r="C3" s="32" t="inlineStr">
        <is>
          <t>和乐业数字生活</t>
        </is>
      </c>
      <c r="D3" s="24" t="inlineStr">
        <is>
          <t>垂直行业营销</t>
        </is>
      </c>
      <c r="E3" s="24" t="inlineStr">
        <is>
          <t>垂直行业管理</t>
        </is>
      </c>
      <c r="F3" s="10" t="inlineStr">
        <is>
          <t>垂直行业管理</t>
        </is>
      </c>
      <c r="G3" s="33" t="inlineStr">
        <is>
          <t>新增</t>
        </is>
      </c>
      <c r="H3" s="24">
        <f>'5、预估工作量和FPA核减后的工作量元数据录入'!B3</f>
        <v/>
      </c>
      <c r="I3" s="24" t="n">
        <v>157</v>
      </c>
    </row>
    <row r="4" ht="15" customFormat="1" customHeight="1" s="1">
      <c r="A4" s="24" t="n">
        <v>2</v>
      </c>
      <c r="B4" t="inlineStr">
        <is>
          <t>【工单标题】</t>
        </is>
      </c>
      <c r="C4" t="inlineStr">
        <is>
          <t>和乐业数字生活</t>
        </is>
      </c>
      <c r="D4" t="inlineStr">
        <is>
          <t>垂直行业营销</t>
        </is>
      </c>
      <c r="E4" t="inlineStr">
        <is>
          <t>垂直行业管理</t>
        </is>
      </c>
      <c r="F4" s="10" t="inlineStr">
        <is>
          <t>合伙商管理</t>
        </is>
      </c>
      <c r="G4" s="33" t="inlineStr">
        <is>
          <t>新增</t>
        </is>
      </c>
      <c r="H4">
        <f>'5、预估工作量和FPA核减后的工作量元数据录入'!B3</f>
        <v/>
      </c>
      <c r="I4" t="n">
        <v>157</v>
      </c>
    </row>
    <row r="5" ht="15" customFormat="1" customHeight="1" s="1">
      <c r="A5" s="24" t="n">
        <v>3</v>
      </c>
      <c r="B5" t="inlineStr">
        <is>
          <t>【工单标题】</t>
        </is>
      </c>
      <c r="C5" t="inlineStr">
        <is>
          <t>和乐业数字生活</t>
        </is>
      </c>
      <c r="D5" t="inlineStr">
        <is>
          <t>垂直行业营销</t>
        </is>
      </c>
      <c r="E5" s="24" t="inlineStr">
        <is>
          <t>装修管理</t>
        </is>
      </c>
      <c r="F5" s="10" t="inlineStr">
        <is>
          <t>首页装修</t>
        </is>
      </c>
      <c r="G5" s="33" t="inlineStr">
        <is>
          <t>新增</t>
        </is>
      </c>
      <c r="H5">
        <f>'5、预估工作量和FPA核减后的工作量元数据录入'!B3</f>
        <v/>
      </c>
      <c r="I5" t="n">
        <v>157</v>
      </c>
    </row>
    <row r="6" ht="15" customFormat="1" customHeight="1" s="1">
      <c r="A6" s="24" t="n">
        <v>4</v>
      </c>
      <c r="B6" t="inlineStr">
        <is>
          <t>【工单标题】</t>
        </is>
      </c>
      <c r="C6" t="inlineStr">
        <is>
          <t>和乐业数字生活</t>
        </is>
      </c>
      <c r="D6" t="inlineStr">
        <is>
          <t>垂直行业营销</t>
        </is>
      </c>
      <c r="E6" t="inlineStr">
        <is>
          <t>装修管理</t>
        </is>
      </c>
      <c r="F6" s="10" t="inlineStr">
        <is>
          <t>自定义装修</t>
        </is>
      </c>
      <c r="G6" s="33" t="inlineStr">
        <is>
          <t>新增</t>
        </is>
      </c>
      <c r="H6">
        <f>'5、预估工作量和FPA核减后的工作量元数据录入'!B3</f>
        <v/>
      </c>
      <c r="I6" t="n">
        <v>157</v>
      </c>
    </row>
    <row r="7" ht="15" customFormat="1" customHeight="1" s="1">
      <c r="A7" s="24" t="n">
        <v>5</v>
      </c>
      <c r="B7" t="inlineStr">
        <is>
          <t>【工单标题】</t>
        </is>
      </c>
      <c r="C7" t="inlineStr">
        <is>
          <t>和乐业数字生活</t>
        </is>
      </c>
      <c r="D7" t="inlineStr">
        <is>
          <t>垂直行业营销</t>
        </is>
      </c>
      <c r="E7" s="24" t="inlineStr">
        <is>
          <t>行业人员认证管理</t>
        </is>
      </c>
      <c r="F7" s="10" t="inlineStr">
        <is>
          <t>行业人员认证列表</t>
        </is>
      </c>
      <c r="G7" s="33" t="inlineStr">
        <is>
          <t>新增</t>
        </is>
      </c>
      <c r="H7">
        <f>'5、预估工作量和FPA核减后的工作量元数据录入'!B3</f>
        <v/>
      </c>
      <c r="I7" t="n">
        <v>157</v>
      </c>
    </row>
    <row r="8" ht="15" customHeight="1" s="28">
      <c r="A8" s="24" t="n">
        <v>6</v>
      </c>
      <c r="B8" t="inlineStr">
        <is>
          <t>【工单标题】</t>
        </is>
      </c>
      <c r="C8" t="inlineStr">
        <is>
          <t>和乐业数字生活</t>
        </is>
      </c>
      <c r="D8" t="inlineStr">
        <is>
          <t>垂直行业营销</t>
        </is>
      </c>
      <c r="E8" t="inlineStr">
        <is>
          <t>行业人员认证管理</t>
        </is>
      </c>
      <c r="F8" s="12" t="inlineStr">
        <is>
          <t>行业人员稽核列表</t>
        </is>
      </c>
      <c r="G8" s="33" t="inlineStr">
        <is>
          <t>新增</t>
        </is>
      </c>
      <c r="H8">
        <f>'5、预估工作量和FPA核减后的工作量元数据录入'!B3</f>
        <v/>
      </c>
      <c r="I8" t="n">
        <v>157</v>
      </c>
    </row>
    <row r="9" ht="15" customHeight="1" s="28">
      <c r="A9" s="24" t="n">
        <v>7</v>
      </c>
      <c r="B9" t="inlineStr">
        <is>
          <t>【工单标题】</t>
        </is>
      </c>
      <c r="C9" t="inlineStr">
        <is>
          <t>和乐业数字生活</t>
        </is>
      </c>
      <c r="D9" t="inlineStr">
        <is>
          <t>垂直行业营销</t>
        </is>
      </c>
      <c r="E9" s="13" t="inlineStr">
        <is>
          <t>驿站管理</t>
        </is>
      </c>
      <c r="F9" s="12" t="inlineStr">
        <is>
          <t>驿站列表</t>
        </is>
      </c>
      <c r="G9" s="33" t="inlineStr">
        <is>
          <t>新增</t>
        </is>
      </c>
      <c r="H9">
        <f>'5、预估工作量和FPA核减后的工作量元数据录入'!B3</f>
        <v/>
      </c>
      <c r="I9" t="n">
        <v>157</v>
      </c>
    </row>
    <row r="10" ht="15" customHeight="1" s="28">
      <c r="A10" s="24" t="n">
        <v>8</v>
      </c>
      <c r="B10" t="inlineStr">
        <is>
          <t>【工单标题】</t>
        </is>
      </c>
      <c r="C10" t="inlineStr">
        <is>
          <t>和乐业数字生活</t>
        </is>
      </c>
      <c r="D10" t="inlineStr">
        <is>
          <t>垂直行业营销</t>
        </is>
      </c>
      <c r="E10" s="13" t="inlineStr">
        <is>
          <t>签到管理</t>
        </is>
      </c>
      <c r="F10" s="12" t="inlineStr">
        <is>
          <t>签到奖品配置</t>
        </is>
      </c>
      <c r="G10" s="33" t="inlineStr">
        <is>
          <t>新增</t>
        </is>
      </c>
      <c r="H10">
        <f>'5、预估工作量和FPA核减后的工作量元数据录入'!B3</f>
        <v/>
      </c>
      <c r="I10" t="n">
        <v>157</v>
      </c>
    </row>
    <row r="11" ht="15" customHeight="1" s="28">
      <c r="A11" s="24" t="n">
        <v>9</v>
      </c>
      <c r="B11" t="inlineStr">
        <is>
          <t>【工单标题】</t>
        </is>
      </c>
      <c r="C11" t="inlineStr">
        <is>
          <t>和乐业数字生活</t>
        </is>
      </c>
      <c r="D11" t="inlineStr">
        <is>
          <t>垂直行业营销</t>
        </is>
      </c>
      <c r="E11" t="inlineStr">
        <is>
          <t>签到管理</t>
        </is>
      </c>
      <c r="F11" s="12" t="inlineStr">
        <is>
          <t>签到记录</t>
        </is>
      </c>
      <c r="G11" s="33" t="inlineStr">
        <is>
          <t>新增</t>
        </is>
      </c>
      <c r="H11">
        <f>'5、预估工作量和FPA核减后的工作量元数据录入'!B3</f>
        <v/>
      </c>
      <c r="I11" t="n">
        <v>157</v>
      </c>
    </row>
    <row r="12" ht="15" customHeight="1" s="28">
      <c r="A12" s="24" t="n">
        <v>10</v>
      </c>
      <c r="B12" t="inlineStr">
        <is>
          <t>【工单标题】</t>
        </is>
      </c>
      <c r="C12" t="inlineStr">
        <is>
          <t>和乐业数字生活</t>
        </is>
      </c>
      <c r="D12" t="inlineStr">
        <is>
          <t>垂直行业营销</t>
        </is>
      </c>
      <c r="E12" s="13" t="inlineStr">
        <is>
          <t>订单管理</t>
        </is>
      </c>
      <c r="F12" s="12" t="inlineStr">
        <is>
          <t>卡券订单</t>
        </is>
      </c>
      <c r="G12" s="33" t="inlineStr">
        <is>
          <t>新增</t>
        </is>
      </c>
      <c r="H12">
        <f>'5、预估工作量和FPA核减后的工作量元数据录入'!B3</f>
        <v/>
      </c>
      <c r="I12" t="n">
        <v>157</v>
      </c>
    </row>
    <row r="13" ht="15" customHeight="1" s="28">
      <c r="A13" s="24" t="n">
        <v>11</v>
      </c>
      <c r="B13" t="inlineStr">
        <is>
          <t>【工单标题】</t>
        </is>
      </c>
      <c r="C13" t="inlineStr">
        <is>
          <t>和乐业数字生活</t>
        </is>
      </c>
      <c r="D13" t="inlineStr">
        <is>
          <t>垂直行业营销</t>
        </is>
      </c>
      <c r="E13" t="inlineStr">
        <is>
          <t>订单管理</t>
        </is>
      </c>
      <c r="F13" s="12" t="inlineStr">
        <is>
          <t>业务订单</t>
        </is>
      </c>
      <c r="G13" s="33" t="inlineStr">
        <is>
          <t>新增</t>
        </is>
      </c>
      <c r="H13">
        <f>'5、预估工作量和FPA核减后的工作量元数据录入'!B3</f>
        <v/>
      </c>
      <c r="I13" t="n">
        <v>157</v>
      </c>
    </row>
    <row r="14" ht="15" customHeight="1" s="28">
      <c r="A14" s="24" t="n">
        <v>12</v>
      </c>
      <c r="B14" t="inlineStr">
        <is>
          <t>【工单标题】</t>
        </is>
      </c>
      <c r="C14" t="inlineStr">
        <is>
          <t>和乐业数字生活</t>
        </is>
      </c>
      <c r="D14" s="34" t="inlineStr">
        <is>
          <t>用户前台</t>
        </is>
      </c>
      <c r="E14" s="13" t="inlineStr">
        <is>
          <t>活动前台</t>
        </is>
      </c>
      <c r="F14" s="12" t="inlineStr">
        <is>
          <t>垂直行业登录页</t>
        </is>
      </c>
      <c r="G14" s="33" t="inlineStr">
        <is>
          <t>新增</t>
        </is>
      </c>
      <c r="H14">
        <f>'5、预估工作量和FPA核减后的工作量元数据录入'!B3</f>
        <v/>
      </c>
      <c r="I14" t="n">
        <v>157</v>
      </c>
    </row>
    <row r="15" ht="15" customHeight="1" s="28">
      <c r="A15" s="24" t="n">
        <v>13</v>
      </c>
      <c r="B15" t="inlineStr">
        <is>
          <t>【工单标题】</t>
        </is>
      </c>
      <c r="C15" t="inlineStr">
        <is>
          <t>和乐业数字生活</t>
        </is>
      </c>
      <c r="D15" t="inlineStr">
        <is>
          <t>用户前台</t>
        </is>
      </c>
      <c r="E15" t="inlineStr">
        <is>
          <t>活动前台</t>
        </is>
      </c>
      <c r="F15" s="12" t="inlineStr">
        <is>
          <t>首页</t>
        </is>
      </c>
      <c r="G15" s="33" t="inlineStr">
        <is>
          <t>新增</t>
        </is>
      </c>
      <c r="H15">
        <f>'5、预估工作量和FPA核减后的工作量元数据录入'!B3</f>
        <v/>
      </c>
      <c r="I15" t="n">
        <v>157</v>
      </c>
    </row>
    <row r="16" ht="15" customHeight="1" s="28">
      <c r="A16" s="24" t="n">
        <v>14</v>
      </c>
      <c r="B16" t="inlineStr">
        <is>
          <t>【工单标题】</t>
        </is>
      </c>
      <c r="C16" t="inlineStr">
        <is>
          <t>和乐业数字生活</t>
        </is>
      </c>
      <c r="D16" t="inlineStr">
        <is>
          <t>渠道工作台</t>
        </is>
      </c>
      <c r="E16" t="inlineStr">
        <is>
          <t>垂直行业管理</t>
        </is>
      </c>
      <c r="F16" s="12" t="inlineStr">
        <is>
          <t>用户信息</t>
        </is>
      </c>
      <c r="G16" s="33" t="inlineStr">
        <is>
          <t>修改</t>
        </is>
      </c>
      <c r="H16">
        <f>'5、预估工作量和FPA核减后的工作量元数据录入'!B3</f>
        <v/>
      </c>
      <c r="I16" t="n">
        <v>157</v>
      </c>
    </row>
    <row r="17" ht="15" customHeight="1" s="28">
      <c r="A17" s="24" t="n">
        <v>15</v>
      </c>
      <c r="B17" t="inlineStr">
        <is>
          <t>【工单标题】</t>
        </is>
      </c>
      <c r="C17" t="inlineStr">
        <is>
          <t>和乐业数字生活</t>
        </is>
      </c>
      <c r="D17" t="inlineStr">
        <is>
          <t>渠道工作台</t>
        </is>
      </c>
      <c r="E17" t="inlineStr">
        <is>
          <t>垂直行业管理</t>
        </is>
      </c>
      <c r="F17" s="12" t="inlineStr">
        <is>
          <t>分销码</t>
        </is>
      </c>
      <c r="G17" s="33" t="inlineStr">
        <is>
          <t>新增</t>
        </is>
      </c>
      <c r="H17">
        <f>'5、预估工作量和FPA核减后的工作量元数据录入'!B3</f>
        <v/>
      </c>
      <c r="I17" t="n">
        <v>157</v>
      </c>
    </row>
    <row r="18" ht="15" customHeight="1" s="28">
      <c r="A18" s="24" t="n">
        <v>16</v>
      </c>
      <c r="B18" t="inlineStr">
        <is>
          <t>【工单标题】</t>
        </is>
      </c>
      <c r="C18" t="inlineStr">
        <is>
          <t>和乐业数字生活</t>
        </is>
      </c>
      <c r="D18" t="inlineStr">
        <is>
          <t>渠道工作台</t>
        </is>
      </c>
      <c r="E18" t="inlineStr">
        <is>
          <t>垂直行业管理</t>
        </is>
      </c>
      <c r="F18" s="12" t="inlineStr">
        <is>
          <t>稽核管理</t>
        </is>
      </c>
      <c r="G18" s="33" t="inlineStr">
        <is>
          <t>新增</t>
        </is>
      </c>
      <c r="H18">
        <f>'5、预估工作量和FPA核减后的工作量元数据录入'!B3</f>
        <v/>
      </c>
      <c r="I18" t="n">
        <v>157</v>
      </c>
    </row>
    <row r="19" ht="15" customHeight="1" s="28">
      <c r="A19" s="24" t="n">
        <v>17</v>
      </c>
      <c r="B19" t="inlineStr">
        <is>
          <t>【工单标题】</t>
        </is>
      </c>
      <c r="C19" t="inlineStr">
        <is>
          <t>和乐业数字生活</t>
        </is>
      </c>
      <c r="D19" t="inlineStr">
        <is>
          <t>渠道工作台</t>
        </is>
      </c>
      <c r="E19" t="inlineStr">
        <is>
          <t>垂直行业管理</t>
        </is>
      </c>
      <c r="F19" s="12" t="inlineStr">
        <is>
          <t>销售概况</t>
        </is>
      </c>
      <c r="G19" s="33" t="inlineStr">
        <is>
          <t>新增</t>
        </is>
      </c>
      <c r="H19">
        <f>'5、预估工作量和FPA核减后的工作量元数据录入'!B3</f>
        <v/>
      </c>
      <c r="I19" t="n">
        <v>157</v>
      </c>
    </row>
    <row r="20" ht="15" customHeight="1" s="28">
      <c r="A20" s="24" t="n">
        <v>18</v>
      </c>
      <c r="B20" t="inlineStr">
        <is>
          <t>【工单标题】</t>
        </is>
      </c>
      <c r="C20" t="inlineStr">
        <is>
          <t>和乐业数字生活</t>
        </is>
      </c>
      <c r="D20" t="inlineStr">
        <is>
          <t>渠道工作台</t>
        </is>
      </c>
      <c r="E20" t="inlineStr">
        <is>
          <t>垂直行业管理</t>
        </is>
      </c>
      <c r="F20" s="12" t="inlineStr">
        <is>
          <t>卡劵订单</t>
        </is>
      </c>
      <c r="G20" s="33" t="inlineStr">
        <is>
          <t>新增</t>
        </is>
      </c>
      <c r="H20">
        <f>'5、预估工作量和FPA核减后的工作量元数据录入'!B3</f>
        <v/>
      </c>
      <c r="I20" t="n">
        <v>157</v>
      </c>
    </row>
    <row r="21">
      <c r="A21" t="n">
        <v>19</v>
      </c>
      <c r="B21" t="inlineStr">
        <is>
          <t>【工单标题】</t>
        </is>
      </c>
      <c r="C21" t="inlineStr">
        <is>
          <t>和乐业数字生活</t>
        </is>
      </c>
      <c r="D21" t="inlineStr">
        <is>
          <t>渠道工作台</t>
        </is>
      </c>
      <c r="E21" t="inlineStr">
        <is>
          <t>垂直行业管理</t>
        </is>
      </c>
      <c r="F21" t="inlineStr">
        <is>
          <t>业务订单</t>
        </is>
      </c>
      <c r="G21" t="inlineStr">
        <is>
          <t>新增</t>
        </is>
      </c>
      <c r="H21">
        <f>'5、预估工作量和FPA核减后的工作量元数据录入'!B3</f>
        <v/>
      </c>
      <c r="I21" t="n">
        <v>157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 </dc:creator>
  <dcterms:created xmlns:dcterms="http://purl.org/dc/terms/" xmlns:xsi="http://www.w3.org/2001/XMLSchema-instance" xsi:type="dcterms:W3CDTF">2022-04-26T21:52:00Z</dcterms:created>
  <dcterms:modified xmlns:dcterms="http://purl.org/dc/terms/" xmlns:xsi="http://www.w3.org/2001/XMLSchema-instance" xsi:type="dcterms:W3CDTF">2026-05-09T04:05:32Z</dcterms:modified>
  <cp:lastModifiedBy>叮当猫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D637F497472F480EAE3D578A913A0DEC</vt:lpwstr>
  </property>
  <property name="CalculationRule" fmtid="{D5CDD505-2E9C-101B-9397-08002B2CF9AE}" pid="4">
    <vt:i4 xmlns:vt="http://schemas.openxmlformats.org/officeDocument/2006/docPropsVTypes">0</vt:i4>
  </property>
</Properties>
</file>