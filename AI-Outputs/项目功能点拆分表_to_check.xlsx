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模型说明" sheetId="1" state="visible" r:id="rId1"/>
    <sheet xmlns:r="http://schemas.openxmlformats.org/officeDocument/2006/relationships" name="1、环境图" sheetId="2" state="visible" r:id="rId2"/>
    <sheet xmlns:r="http://schemas.openxmlformats.org/officeDocument/2006/relationships" name="2、功能点拆分表" sheetId="3" state="visible" r:id="rId3"/>
  </sheets>
  <definedNames>
    <definedName name="北京地标">#REF!</definedName>
    <definedName name="重庆地标">#REF!</definedName>
  </definedNames>
  <calcPr calcId="0" fullCalcOnLoad="1" iterate="0"/>
</workbook>
</file>

<file path=xl/styles.xml><?xml version="1.0" encoding="utf-8"?>
<styleSheet xmlns="http://schemas.openxmlformats.org/spreadsheetml/2006/main">
  <numFmts count="2">
    <numFmt numFmtId="164" formatCode="0.00_ "/>
    <numFmt numFmtId="165" formatCode="[=1]0;[=0]0;# ?/?"/>
  </numFmts>
  <fonts count="12">
    <font>
      <name val="等线"/>
      <charset val="134"/>
      <color theme="1"/>
      <sz val="12"/>
      <scheme val="minor"/>
    </font>
    <font>
      <name val="宋体"/>
      <b val="1"/>
      <color rgb="00FF0000"/>
      <sz val="12"/>
    </font>
    <font>
      <name val="宋体"/>
      <sz val="12"/>
    </font>
    <font>
      <name val="宋体"/>
      <b val="1"/>
      <sz val="14"/>
    </font>
    <font>
      <name val="宋体"/>
      <sz val="11"/>
    </font>
    <font>
      <name val="宋体"/>
      <sz val="9"/>
    </font>
    <font>
      <name val="Microsoft YaHei"/>
      <sz val="11"/>
    </font>
    <font>
      <name val="Times New Roman"/>
      <sz val="11"/>
    </font>
    <font>
      <name val="宋体"/>
      <color rgb="00FF0000"/>
      <sz val="11"/>
    </font>
    <font>
      <name val="Microsoft YaHei"/>
      <sz val="6"/>
    </font>
    <font>
      <name val="Calibri"/>
      <family val="2"/>
      <color theme="1"/>
      <sz val="12"/>
      <scheme val="minor"/>
    </font>
    <font>
      <name val="微软雅黑"/>
      <color rgb="FF000000"/>
      <sz val="11"/>
    </font>
  </fonts>
  <fills count="11">
    <fill>
      <patternFill/>
    </fill>
    <fill>
      <patternFill patternType="gray125"/>
    </fill>
    <fill>
      <patternFill patternType="solid">
        <fgColor rgb="00FFFF00"/>
      </patternFill>
    </fill>
    <fill>
      <patternFill patternType="solid">
        <fgColor rgb="00A5B6CA"/>
      </patternFill>
    </fill>
    <fill>
      <patternFill patternType="solid">
        <fgColor rgb="00BFBFBF"/>
      </patternFill>
    </fill>
    <fill>
      <patternFill patternType="solid">
        <fgColor rgb="00D8D8D8"/>
      </patternFill>
    </fill>
    <fill>
      <patternFill patternType="solid">
        <fgColor rgb="0092D050"/>
      </patternFill>
    </fill>
    <fill>
      <patternFill patternType="solid">
        <fgColor rgb="00A5A5A5"/>
      </patternFill>
    </fill>
    <fill>
      <patternFill patternType="solid">
        <fgColor rgb="00FF0000"/>
      </patternFill>
    </fill>
    <fill>
      <patternFill patternType="solid">
        <fgColor rgb="0000B0F0"/>
      </patternFill>
    </fill>
    <fill>
      <patternFill patternType="solid"/>
    </fill>
  </fills>
  <borders count="20">
    <border/>
    <border>
      <left style="thin">
        <color rgb="002b2b2b"/>
      </left>
      <top style="thin">
        <color rgb="002b2b2b"/>
      </top>
      <bottom style="thin">
        <color rgb="002b2b2b"/>
      </bottom>
    </border>
    <border>
      <right style="thin">
        <color rgb="002b2b2b"/>
      </right>
      <top style="thin">
        <color rgb="002b2b2b"/>
      </top>
      <bottom style="thin">
        <color rgb="002b2b2b"/>
      </bottom>
    </border>
    <border>
      <left style="thin">
        <color rgb="002b2b2b"/>
      </left>
      <right style="thin">
        <color rgb="002b2b2b"/>
      </right>
      <top style="thin">
        <color rgb="002b2b2b"/>
      </top>
      <bottom style="thin">
        <color rgb="002b2b2b"/>
      </bottom>
    </border>
    <border>
      <right style="thin">
        <color rgb="002b2b2b"/>
      </right>
      <top style="thin">
        <color rgb="002b2b2b"/>
      </top>
    </border>
    <border>
      <left style="thin">
        <color rgb="002b2b2b"/>
      </left>
      <right style="thin">
        <color rgb="002b2b2b"/>
      </right>
      <top style="thin">
        <color rgb="002b2b2b"/>
      </top>
    </border>
    <border>
      <right style="thin">
        <color rgb="002b2b2b"/>
      </right>
    </border>
    <border>
      <left style="thin">
        <color rgb="002b2b2b"/>
      </left>
      <right style="thin">
        <color rgb="002b2b2b"/>
      </right>
    </border>
    <border>
      <left style="thin">
        <color rgb="002b2b2b"/>
      </left>
      <right style="thin">
        <color rgb="002b2b2b"/>
      </right>
      <bottom style="thin">
        <color rgb="002b2b2b"/>
      </bottom>
    </border>
    <border>
      <left/>
      <right/>
      <top/>
      <bottom/>
      <diagonal/>
    </border>
    <border>
      <top style="thin">
        <color rgb="002b2b2b"/>
      </top>
    </border>
    <border>
      <top style="thin">
        <color rgb="002b2b2b"/>
      </top>
      <bottom style="thin">
        <color rgb="002b2b2b"/>
      </bottom>
    </border>
    <border>
      <left style="thin">
        <color rgb="002b2b2b"/>
      </left>
    </border>
    <border>
      <left style="thin">
        <color rgb="002b2b2b"/>
      </left>
      <bottom style="thin">
        <color rgb="002b2b2b"/>
      </bottom>
    </border>
    <border>
      <bottom style="thin">
        <color rgb="002b2b2b"/>
      </bottom>
    </border>
    <border>
      <right style="thin">
        <color rgb="002b2b2b"/>
      </right>
      <bottom style="thin">
        <color rgb="002b2b2b"/>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10" fillId="0" borderId="9"/>
  </cellStyleXfs>
  <cellXfs count="58">
    <xf numFmtId="0" fontId="0" fillId="0" borderId="0" pivotButton="0" quotePrefix="0" xfId="0"/>
    <xf numFmtId="0" fontId="1" fillId="2" borderId="1" applyAlignment="1" pivotButton="0" quotePrefix="0" xfId="0">
      <alignment vertical="center" wrapText="1"/>
    </xf>
    <xf numFmtId="0" fontId="2" fillId="2" borderId="2" applyAlignment="1" pivotButton="0" quotePrefix="0" xfId="0">
      <alignment vertical="center" wrapText="1"/>
    </xf>
    <xf numFmtId="0" fontId="1" fillId="3" borderId="3" applyAlignment="1" pivotButton="0" quotePrefix="0" xfId="0">
      <alignment horizontal="center" vertical="center"/>
    </xf>
    <xf numFmtId="0" fontId="2" fillId="0" borderId="3" applyAlignment="1" pivotButton="0" quotePrefix="0" xfId="0">
      <alignment vertical="center"/>
    </xf>
    <xf numFmtId="0" fontId="1" fillId="0" borderId="3" applyAlignment="1" pivotButton="0" quotePrefix="0" xfId="0">
      <alignment horizontal="center" vertical="center"/>
    </xf>
    <xf numFmtId="0" fontId="1" fillId="4" borderId="3" applyAlignment="1" pivotButton="0" quotePrefix="0" xfId="0">
      <alignment horizontal="center" vertical="center"/>
    </xf>
    <xf numFmtId="0" fontId="1" fillId="5" borderId="3" applyAlignment="1" pivotButton="0" quotePrefix="0" xfId="0">
      <alignment horizontal="center" vertical="center"/>
    </xf>
    <xf numFmtId="0" fontId="1" fillId="6" borderId="3" applyAlignment="1" pivotButton="0" quotePrefix="0" xfId="0">
      <alignment horizontal="center" vertical="center"/>
    </xf>
    <xf numFmtId="0" fontId="3" fillId="7"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wrapText="1"/>
    </xf>
    <xf numFmtId="0" fontId="5" fillId="0" borderId="0" applyAlignment="1" pivotButton="0" quotePrefix="0" xfId="0">
      <alignment vertical="center"/>
    </xf>
    <xf numFmtId="0" fontId="4" fillId="8" borderId="0" applyAlignment="1" pivotButton="0" quotePrefix="0" xfId="0">
      <alignment vertical="center"/>
    </xf>
    <xf numFmtId="0" fontId="2" fillId="0" borderId="0" applyAlignment="1" pivotButton="0" quotePrefix="0" xfId="0">
      <alignment vertical="center"/>
    </xf>
    <xf numFmtId="0" fontId="2" fillId="9" borderId="0" applyAlignment="1" pivotButton="0" quotePrefix="0" xfId="0">
      <alignment vertical="center"/>
    </xf>
    <xf numFmtId="0" fontId="2" fillId="10" borderId="0" applyAlignment="1" pivotButton="0" quotePrefix="0" xfId="0">
      <alignment vertical="center"/>
    </xf>
    <xf numFmtId="0" fontId="6" fillId="7" borderId="3" applyAlignment="1" pivotButton="0" quotePrefix="0" xfId="0">
      <alignment horizontal="center" vertical="center" wrapText="1"/>
    </xf>
    <xf numFmtId="164" fontId="6" fillId="7" borderId="3" applyAlignment="1" pivotButton="0" quotePrefix="0" xfId="0">
      <alignment horizontal="center" vertical="center" wrapText="1"/>
    </xf>
    <xf numFmtId="0" fontId="7" fillId="0" borderId="0" applyAlignment="1" pivotButton="0" quotePrefix="0" xfId="0">
      <alignment vertical="center" wrapText="1"/>
    </xf>
    <xf numFmtId="0" fontId="6" fillId="7" borderId="2" applyAlignment="1" pivotButton="0" quotePrefix="0" xfId="0">
      <alignment horizontal="center" vertical="center" wrapText="1"/>
    </xf>
    <xf numFmtId="0" fontId="6" fillId="7" borderId="4" applyAlignment="1" pivotButton="0" quotePrefix="0" xfId="0">
      <alignment horizontal="center" vertical="center" wrapText="1"/>
    </xf>
    <xf numFmtId="0" fontId="6" fillId="7" borderId="5" applyAlignment="1" pivotButton="0" quotePrefix="0" xfId="0">
      <alignment horizontal="center" vertical="center" wrapText="1"/>
    </xf>
    <xf numFmtId="164" fontId="6" fillId="7" borderId="5" applyAlignment="1" pivotButton="0" quotePrefix="0" xfId="0">
      <alignment horizontal="center" vertical="center" wrapText="1"/>
    </xf>
    <xf numFmtId="0" fontId="6" fillId="7" borderId="6" applyAlignment="1" pivotButton="0" quotePrefix="0" xfId="0">
      <alignment horizontal="center" vertical="center" wrapText="1"/>
    </xf>
    <xf numFmtId="0" fontId="6" fillId="7" borderId="7" applyAlignment="1" pivotButton="0" quotePrefix="0" xfId="0">
      <alignment horizontal="center" vertical="center" wrapText="1"/>
    </xf>
    <xf numFmtId="164" fontId="6" fillId="7" borderId="7" applyAlignment="1" pivotButton="0" quotePrefix="0" xfId="0">
      <alignment horizontal="center" vertical="center" wrapText="1"/>
    </xf>
    <xf numFmtId="0" fontId="8" fillId="0" borderId="3" applyAlignment="1" pivotButton="0" quotePrefix="0" xfId="0">
      <alignment vertical="center" wrapText="1"/>
    </xf>
    <xf numFmtId="0" fontId="8" fillId="0" borderId="3" applyAlignment="1" pivotButton="0" quotePrefix="0" xfId="0">
      <alignment horizontal="center" vertical="center" wrapText="1"/>
    </xf>
    <xf numFmtId="0" fontId="4" fillId="0" borderId="5" applyAlignment="1" pivotButton="0" quotePrefix="0" xfId="0">
      <alignment horizontal="center" vertical="center" wrapText="1"/>
    </xf>
    <xf numFmtId="1" fontId="6" fillId="0" borderId="5" applyAlignment="1" pivotButton="0" quotePrefix="0" xfId="0">
      <alignment horizontal="center" vertical="center" wrapText="1"/>
    </xf>
    <xf numFmtId="1" fontId="6" fillId="0" borderId="3" applyAlignment="1" pivotButton="0" quotePrefix="0" xfId="0">
      <alignment horizontal="center" vertical="center" wrapText="1"/>
    </xf>
    <xf numFmtId="0" fontId="6" fillId="0" borderId="5" applyAlignment="1" pivotButton="0" quotePrefix="0" xfId="0">
      <alignment horizontal="center" vertical="center" wrapText="1"/>
    </xf>
    <xf numFmtId="1" fontId="6" fillId="0" borderId="3" applyAlignment="1" pivotButton="0" quotePrefix="0" xfId="0">
      <alignment horizontal="left" vertical="center" wrapText="1"/>
    </xf>
    <xf numFmtId="0" fontId="4" fillId="0" borderId="3" applyAlignment="1" pivotButton="0" quotePrefix="0" xfId="0">
      <alignment horizontal="center" vertical="center" wrapText="1"/>
    </xf>
    <xf numFmtId="164" fontId="4" fillId="6" borderId="3" applyAlignment="1" pivotButton="0" quotePrefix="0" xfId="0">
      <alignment horizontal="center" vertical="center" wrapText="1"/>
    </xf>
    <xf numFmtId="0" fontId="4" fillId="0" borderId="7" applyAlignment="1" pivotButton="0" quotePrefix="0" xfId="0">
      <alignment horizontal="center" vertical="center" wrapText="1"/>
    </xf>
    <xf numFmtId="1" fontId="6" fillId="0" borderId="7"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8" applyAlignment="1" pivotButton="0" quotePrefix="0" xfId="0">
      <alignment horizontal="center" vertical="center" wrapText="1"/>
    </xf>
    <xf numFmtId="0" fontId="6" fillId="0" borderId="3" applyAlignment="1" pivotButton="0" quotePrefix="0" xfId="0">
      <alignment horizontal="left" vertical="center" wrapText="1"/>
    </xf>
    <xf numFmtId="0" fontId="6" fillId="0" borderId="3" applyAlignment="1" pivotButton="0" quotePrefix="0" xfId="0">
      <alignment horizontal="center" vertical="center" wrapText="1"/>
    </xf>
    <xf numFmtId="0" fontId="9" fillId="0" borderId="3" applyAlignment="1" pivotButton="0" quotePrefix="0" xfId="0">
      <alignment vertical="center" wrapText="1"/>
    </xf>
    <xf numFmtId="0" fontId="9" fillId="0" borderId="3" applyAlignment="1" pivotButton="0" quotePrefix="0" xfId="0">
      <alignment horizontal="center" vertical="center" wrapText="1"/>
    </xf>
    <xf numFmtId="0" fontId="7" fillId="0" borderId="0" applyAlignment="1" pivotButton="0" quotePrefix="0" xfId="0">
      <alignment horizontal="center" vertical="center" wrapText="1"/>
    </xf>
    <xf numFmtId="0" fontId="1" fillId="2" borderId="3" applyAlignment="1" pivotButton="0" quotePrefix="0" xfId="0">
      <alignment vertical="center" wrapText="1"/>
    </xf>
    <xf numFmtId="0" fontId="0" fillId="0" borderId="2" pivotButton="0" quotePrefix="0" xfId="0"/>
    <xf numFmtId="0" fontId="0" fillId="0" borderId="11" pivotButton="0" quotePrefix="0" xfId="0"/>
    <xf numFmtId="0" fontId="0" fillId="0" borderId="6" pivotButton="0" quotePrefix="0" xfId="0"/>
    <xf numFmtId="0" fontId="0" fillId="0" borderId="7" pivotButton="0" quotePrefix="0" xfId="0"/>
    <xf numFmtId="0" fontId="11" fillId="0" borderId="16" applyAlignment="1" pivotButton="0" quotePrefix="0" xfId="0">
      <alignment horizontal="center" vertical="center" wrapText="1"/>
    </xf>
    <xf numFmtId="0" fontId="11" fillId="0" borderId="16" applyAlignment="1" pivotButton="0" quotePrefix="0" xfId="0">
      <alignment horizontal="left" vertical="center" wrapText="1"/>
    </xf>
    <xf numFmtId="165" fontId="11" fillId="6" borderId="16" applyAlignment="1" pivotButton="0" quotePrefix="0" xfId="0">
      <alignment horizontal="center" vertical="center" wrapText="1"/>
    </xf>
    <xf numFmtId="0" fontId="0" fillId="0" borderId="18" pivotButton="0" quotePrefix="0" xfId="0"/>
    <xf numFmtId="0" fontId="0" fillId="0" borderId="19" pivotButton="0" quotePrefix="0" xfId="0"/>
  </cellXfs>
  <cellStyles count="1">
    <cellStyle name="Normal" xfId="0" builtinId="0" hidden="0"/>
  </cellStyles>
  <dxfs count="2">
    <dxf>
      <font>
        <strike val="0"/>
        <color rgb="009C0006"/>
      </font>
      <fill>
        <patternFill>
          <bgColor rgb="00FFC7CE"/>
        </patternFill>
      </fill>
    </dxf>
    <dxf>
      <font>
        <strike val="0"/>
        <color rgb="009C0006"/>
      </font>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0</col>
      <colOff>0</colOff>
      <row>7</row>
      <rowOff>0</rowOff>
    </from>
    <to>
      <col>7</col>
      <colOff>266700</colOff>
      <row>8</row>
      <rowOff>2984500</rowOff>
    </to>
    <pic>
      <nvPicPr>
        <cNvPr id="0" nam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rot="0"/>
        <a:prstGeom xmlns:a="http://schemas.openxmlformats.org/drawingml/2006/main" prst="rect"/>
        <a:ln xmlns:a="http://schemas.openxmlformats.org/drawingml/2006/main">
          <a:prstDash val="solid"/>
        </a:ln>
      </spPr>
    </pic>
    <clientData/>
  </twoCellAnchor>
  <twoCellAnchor>
    <from>
      <col>0</col>
      <colOff>0</colOff>
      <row>13</row>
      <rowOff>0</rowOff>
    </from>
    <to>
      <col>6</col>
      <colOff>38100</colOff>
      <row>13</row>
      <rowOff>2438400</rowOff>
    </to>
    <pic>
      <nvPicPr>
        <cNvPr id="0" name=""/>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0"/>
        <a:prstGeom xmlns:a="http://schemas.openxmlformats.org/drawingml/2006/main" prst="rect"/>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8"/>
  <sheetViews>
    <sheetView tabSelected="1" workbookViewId="0">
      <selection activeCell="A1" sqref="A1"/>
    </sheetView>
  </sheetViews>
  <sheetFormatPr baseColWidth="10" defaultRowHeight="16" customHeight="0" zeroHeight="0" thickTop="0" thickBottom="0"/>
  <cols>
    <col width="15.663636" customWidth="1" min="1" max="1"/>
    <col width="100" customWidth="1" min="2" max="2"/>
    <col width="9" customWidth="1" min="3" max="18"/>
  </cols>
  <sheetData>
    <row r="1" ht="108.75" customHeight="1">
      <c r="A1" s="48" t="inlineStr">
        <is>
          <t>模型填写顺序为：
1　环境图：填写建设目标、建设必要性，并绘制环境图。
2　项目规模：填写拆分功能点，自动计算评估结果，查看度量阶段的ΣCFP。
3  调整因子：根据实际情况对调整因子进行取值。
4　估算结果：自动计算评估结果。</t>
        </is>
      </c>
      <c r="B1" s="49" t="n"/>
    </row>
    <row r="4" ht="15" customHeight="1">
      <c r="A4" s="3" t="inlineStr">
        <is>
          <t>蓝色单元格</t>
        </is>
      </c>
      <c r="B4" s="4" t="inlineStr">
        <is>
          <t>关联填写“功能规模（功能点）”值和类比计算填入“工期（人天）”数</t>
        </is>
      </c>
    </row>
    <row r="5" ht="15" customHeight="1">
      <c r="A5" s="5" t="inlineStr">
        <is>
          <t>白色单元格</t>
        </is>
      </c>
      <c r="B5" s="4" t="inlineStr">
        <is>
          <t>填写建设目标和建设必要性，绘制环境图，功能点拆分填写、下拉选择单元</t>
        </is>
      </c>
    </row>
    <row r="6" ht="15" customHeight="1">
      <c r="A6" s="6" t="inlineStr">
        <is>
          <t>深灰单元格</t>
        </is>
      </c>
      <c r="B6" s="4" t="inlineStr">
        <is>
          <t>模板格式说明部分，不得修改</t>
        </is>
      </c>
    </row>
    <row r="7" ht="15" customHeight="1">
      <c r="A7" s="7" t="inlineStr">
        <is>
          <t>浅灰单元格</t>
        </is>
      </c>
      <c r="B7" s="4" t="inlineStr">
        <is>
          <t>模板参数部分，默认为国际标准推荐取值，各省可按直接使用，也可以按照实际情况适当调参。</t>
        </is>
      </c>
    </row>
    <row r="8" ht="15" customHeight="1">
      <c r="A8" s="8" t="inlineStr">
        <is>
          <t>绿色单元格</t>
        </is>
      </c>
      <c r="B8" s="4" t="inlineStr">
        <is>
          <t>自动计算或引用数据，不得修改</t>
        </is>
      </c>
    </row>
  </sheetData>
  <mergeCells count="1">
    <mergeCell ref="A1:B1"/>
  </mergeCells>
  <pageMargins left="0.69930556" right="0.69930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R26"/>
  <sheetViews>
    <sheetView tabSelected="0" workbookViewId="0">
      <selection activeCell="A1" sqref="A1"/>
    </sheetView>
  </sheetViews>
  <sheetFormatPr baseColWidth="10" defaultRowHeight="16" customHeight="0" zeroHeight="0" thickTop="0" thickBottom="0"/>
  <cols>
    <col width="9" customWidth="1" min="1" max="12"/>
    <col width="47.763638" customWidth="1" min="13" max="13"/>
    <col width="9" customWidth="1" min="14" max="18"/>
  </cols>
  <sheetData>
    <row r="1" ht="22.05" customHeight="1">
      <c r="A1" s="9" t="inlineStr">
        <is>
          <t>1. 建设目标</t>
        </is>
      </c>
      <c r="B1" s="9" t="n"/>
      <c r="C1" s="9" t="n"/>
      <c r="D1" s="9" t="n"/>
      <c r="E1" s="9" t="n"/>
      <c r="M1" s="10" t="n"/>
    </row>
    <row r="2" ht="45" customHeight="1">
      <c r="A2" s="11" t="inlineStr">
        <is>
          <t>为有效推动一线人员销售习惯由单一产品导向向客户需求综合服务导向转变，着力破解当前存在的“卖单品、卖资费、唯指标”等销售痛点，切实提升叠加态业务销售能力与客户价值挖掘水平，拟构建叠加态业务销售模块。本模块旨在针对不同客户场景与业务需求，预设并动态配置多样化、可定制的叠加业务方案库，实现智能匹配与一键推荐。当一线人员识别客户存在多重业务需求时，系统可快速、精准推送适配的叠加态方案，并引导人员主动、规范开展组合营销。同时，通过简化办理流程、整合业务入口，协助客户便捷完成多业务一体化订购与受理，提升办理体验与转化效率。最终，形成“场景识别—方案推荐—协同办理—效果跟踪”的销售闭环，推动业务从单点销售向融合营销升级，助力一线人员转型为综合服务顾问，实现客户价值与业务收入的双重提升。</t>
        </is>
      </c>
    </row>
    <row r="3" ht="30" customHeight="1">
      <c r="N3" s="10" t="n"/>
      <c r="O3" s="10" t="n"/>
      <c r="P3" s="10" t="n"/>
      <c r="Q3" s="10" t="n"/>
      <c r="R3" s="10" t="n"/>
    </row>
    <row r="4" ht="22.05" customHeight="1">
      <c r="A4" s="9" t="inlineStr">
        <is>
          <t>2.建设必要性</t>
        </is>
      </c>
      <c r="B4" s="9" t="n"/>
      <c r="C4" s="9" t="n"/>
      <c r="D4" s="9" t="n"/>
      <c r="E4" s="9" t="n"/>
      <c r="N4" s="10" t="n"/>
      <c r="O4" s="10" t="n"/>
      <c r="P4" s="10" t="n"/>
      <c r="Q4" s="10" t="n"/>
      <c r="R4" s="10" t="n"/>
    </row>
    <row r="5" ht="29" customHeight="1">
      <c r="A5" s="11" t="inlineStr">
        <is>
          <t>为破解传统销售模式下“卖单品、卖资费、唯指标”的惯性桎梏，推动一线人员向以客户需求为中心的融合服务转型，全面提升叠加态业务销售能力，亟需构建叠加态业务销售模块。当前业务推荐依赖人工经验，缺乏系统化、场景化的方案支撑，导致交叉销售机会识别难、推荐效率低、办理流程繁，制约了客户价值深度挖掘与业务收入持续增长。通过建设本模块，可固化多业务融合推荐逻辑，预设覆盖各类客户场景的标准化叠加方案，实现系统智能匹配与一键推送，赋能一线人员在识别客户多维度需求时快速响应、精准推介。同时，模块将整合办理入口、简化操作流程，实现叠加业务的一站式受理，大幅提升办理体验与成交转化。本模块的建设是推动销售模式从“任务执行”向“价值经营”升级的关键支撑，对培养一线人员融合营销能力、增强客户黏性、促进业务从单点突破向整体解决方案转型具有重要现实意义。</t>
        </is>
      </c>
      <c r="N5" s="10" t="n"/>
      <c r="O5" s="10" t="n"/>
      <c r="P5" s="10" t="n"/>
      <c r="Q5" s="10" t="n"/>
      <c r="R5" s="10" t="n"/>
    </row>
    <row r="6" ht="42" customHeight="1">
      <c r="N6" s="10" t="n"/>
      <c r="O6" s="10" t="n"/>
      <c r="P6" s="10" t="n"/>
      <c r="Q6" s="10" t="n"/>
      <c r="R6" s="10" t="n"/>
    </row>
    <row r="7" ht="22.05" customHeight="1">
      <c r="A7" s="9" t="inlineStr">
        <is>
          <t>3. 系统架构图</t>
        </is>
      </c>
      <c r="B7" s="9" t="n"/>
      <c r="C7" s="9" t="n"/>
      <c r="D7" s="9" t="n"/>
      <c r="E7" s="9" t="n"/>
      <c r="N7" s="10" t="n"/>
      <c r="O7" s="10" t="n"/>
      <c r="P7" s="10" t="n"/>
      <c r="Q7" s="10" t="n"/>
      <c r="R7" s="10" t="n"/>
    </row>
    <row r="8" ht="22.05" customHeight="1">
      <c r="A8" s="12" t="n"/>
      <c r="N8" s="10" t="n"/>
      <c r="O8" s="10" t="n"/>
      <c r="P8" s="10" t="n"/>
      <c r="Q8" s="10" t="n"/>
      <c r="R8" s="10" t="n"/>
    </row>
    <row r="9" ht="246" customHeight="1"/>
    <row r="10" ht="22.05" customHeight="1">
      <c r="A10" s="13" t="inlineStr">
        <is>
          <t xml:space="preserve">                                 图3.1 关于和乐业务叠加态业务办理的需求的一级功能示意图</t>
        </is>
      </c>
    </row>
    <row r="11" ht="22.05" customHeight="1">
      <c r="A11" s="10" t="inlineStr">
        <is>
          <t>如图3.1所示  为了实现关于和乐业务叠加态业务办理的需求，本次主要新增地市后台小福包专区、用户前台等模块。</t>
        </is>
      </c>
    </row>
    <row r="12" ht="22.05" customHeight="1"/>
    <row r="13" ht="22.05" customHeight="1"/>
    <row r="14" ht="204" customHeight="1">
      <c r="A14" s="10" t="n"/>
    </row>
    <row r="15" ht="22.05" customHeight="1">
      <c r="A15" s="13" t="inlineStr">
        <is>
          <t xml:space="preserve">                               图3.2 关于和乐业务叠加态业务办理的需求二级功能示意图</t>
        </is>
      </c>
    </row>
    <row r="16" ht="22.05" customHeight="1">
      <c r="A16" s="14" t="inlineStr">
        <is>
          <t>如3.2所示 此架构图为一级功能的细化，本次主要本次主要新增装修管理、小福包产品管理、订单管理、店铺装修链接选择器、小福包首页页面、小福包下单页面、订单详情等模块</t>
        </is>
      </c>
    </row>
    <row r="17" ht="22.05" customHeight="1"/>
    <row r="18" ht="22.05" customHeight="1"/>
    <row r="19" ht="22.05" customHeight="1">
      <c r="A19" s="15" t="inlineStr">
        <is>
          <t>图例：</t>
        </is>
      </c>
      <c r="B19" s="16" t="n"/>
      <c r="C19" s="17" t="inlineStr">
        <is>
          <t>红色字体为新增模块</t>
        </is>
      </c>
      <c r="D19" s="11" t="n"/>
    </row>
    <row r="20" ht="22.05" customHeight="1">
      <c r="A20" s="17" t="n"/>
      <c r="B20" s="18" t="n"/>
      <c r="C20" s="17" t="inlineStr">
        <is>
          <t>蓝色字体为优化模块</t>
        </is>
      </c>
      <c r="D20" s="17" t="n"/>
    </row>
    <row r="21" ht="22.05" customHeight="1">
      <c r="A21" s="17" t="n"/>
      <c r="B21" s="19" t="n"/>
      <c r="C21" s="17" t="inlineStr">
        <is>
          <t>黑色字体原有模块</t>
        </is>
      </c>
      <c r="D21" s="17" t="n"/>
      <c r="N21" s="12" t="n"/>
    </row>
    <row r="22" ht="22.05" customHeight="1">
      <c r="A22" s="17" t="n"/>
      <c r="B22" s="17" t="n"/>
      <c r="C22" s="17" t="n"/>
      <c r="D22" s="17" t="n"/>
      <c r="N22" s="12" t="n"/>
    </row>
    <row r="23" ht="22.05" customHeight="1"/>
    <row r="24" ht="22.05" customHeight="1"/>
    <row r="25" ht="22.05" customHeight="1">
      <c r="A25" s="9" t="inlineStr">
        <is>
          <t>4. 关键时序图/业务逻辑图</t>
        </is>
      </c>
      <c r="B25" s="9" t="n"/>
      <c r="C25" s="9" t="n"/>
      <c r="D25" s="9" t="n"/>
      <c r="E25" s="9" t="n"/>
    </row>
    <row r="26" ht="22.05" customHeight="1">
      <c r="A26" s="15" t="inlineStr">
        <is>
          <t>无</t>
        </is>
      </c>
    </row>
  </sheetData>
  <mergeCells count="8">
    <mergeCell ref="A14:M14"/>
    <mergeCell ref="A2:M3"/>
    <mergeCell ref="A5:M6"/>
    <mergeCell ref="A8:M9"/>
    <mergeCell ref="A16:M18"/>
    <mergeCell ref="A15:M15"/>
    <mergeCell ref="A11:M13"/>
    <mergeCell ref="A10:M10"/>
  </mergeCells>
  <pageMargins left="0.69930556" right="0.69930556"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64"/>
  <sheetViews>
    <sheetView tabSelected="0" workbookViewId="0">
      <selection activeCell="A1" sqref="A1"/>
    </sheetView>
  </sheetViews>
  <sheetFormatPr baseColWidth="10" defaultRowHeight="16" customHeight="0" zeroHeight="0" thickTop="0" thickBottom="0"/>
  <cols>
    <col width="15.545455" customWidth="1" min="1" max="2"/>
    <col width="13" customWidth="1" min="2" max="2"/>
    <col width="14.636364" customWidth="1" min="3" max="3"/>
    <col width="14.818181" customWidth="1" min="4" max="4"/>
    <col width="20.818182" customWidth="1" min="5" max="5"/>
    <col width="20.636362" customWidth="1" min="6" max="6"/>
    <col width="41.636364" customWidth="1" min="7" max="7"/>
    <col width="51.236362" customWidth="1" min="8" max="8"/>
    <col width="18.636364" customWidth="1" min="9" max="9"/>
    <col width="24.818182" customWidth="1" min="10" max="10"/>
    <col width="29.418182" customWidth="1" min="11" max="11"/>
    <col width="19.363636" customWidth="1" min="12" max="12"/>
    <col width="17.09091" customWidth="1" min="13" max="13"/>
    <col width="9" customWidth="1" min="14" max="18"/>
  </cols>
  <sheetData>
    <row r="1" ht="16.5" customHeight="1">
      <c r="A1" s="20" t="inlineStr">
        <is>
          <t>通用软件评估模型</t>
        </is>
      </c>
      <c r="B1" s="50" t="n"/>
      <c r="C1" s="50" t="n"/>
      <c r="D1" s="50" t="n"/>
      <c r="E1" s="50" t="n"/>
      <c r="F1" s="50" t="n"/>
      <c r="G1" s="50" t="n"/>
      <c r="H1" s="50" t="n"/>
      <c r="I1" s="50" t="n"/>
      <c r="J1" s="50" t="n"/>
      <c r="K1" s="50" t="n"/>
      <c r="L1" s="50" t="n"/>
      <c r="M1" s="49" t="n"/>
      <c r="N1" s="22" t="n"/>
      <c r="O1" s="22" t="n"/>
      <c r="P1" s="22" t="n"/>
      <c r="Q1" s="22" t="n"/>
      <c r="R1" s="22" t="n"/>
    </row>
    <row r="2" ht="16.5" customHeight="1">
      <c r="A2" s="23" t="inlineStr">
        <is>
          <t>度量策略阶段</t>
        </is>
      </c>
      <c r="B2" s="50" t="n"/>
      <c r="C2" s="50" t="n"/>
      <c r="D2" s="50" t="n"/>
      <c r="E2" s="49" t="n"/>
      <c r="F2" s="20" t="inlineStr">
        <is>
          <t>映射阶段</t>
        </is>
      </c>
      <c r="G2" s="50" t="n"/>
      <c r="H2" s="50" t="n"/>
      <c r="I2" s="50" t="n"/>
      <c r="J2" s="50" t="n"/>
      <c r="K2" s="49" t="n"/>
      <c r="L2" s="20" t="inlineStr">
        <is>
          <t>度量阶段</t>
        </is>
      </c>
      <c r="M2" s="49" t="n"/>
      <c r="N2" s="22" t="n"/>
      <c r="O2" s="22" t="n"/>
      <c r="P2" s="22" t="n"/>
      <c r="Q2" s="22" t="n"/>
      <c r="R2" s="22" t="n"/>
    </row>
    <row r="3" ht="16.5" customHeight="1">
      <c r="A3" s="24" t="inlineStr">
        <is>
          <t>客户需求</t>
        </is>
      </c>
      <c r="B3" s="24" t="n"/>
      <c r="C3" s="25" t="inlineStr">
        <is>
          <t>功能用户需求</t>
        </is>
      </c>
      <c r="D3" s="24" t="n"/>
      <c r="E3" s="25" t="inlineStr">
        <is>
          <t>功能用户</t>
        </is>
      </c>
      <c r="F3" s="25" t="inlineStr">
        <is>
          <t>触发事件</t>
        </is>
      </c>
      <c r="G3" s="25" t="inlineStr">
        <is>
          <t>功能过程</t>
        </is>
      </c>
      <c r="H3" s="25" t="inlineStr">
        <is>
          <t>子过程描述</t>
        </is>
      </c>
      <c r="I3" s="25" t="inlineStr">
        <is>
          <t>数据移动类型</t>
        </is>
      </c>
      <c r="J3" s="25" t="inlineStr">
        <is>
          <t>数据组</t>
        </is>
      </c>
      <c r="K3" s="25" t="inlineStr">
        <is>
          <t>数据属性</t>
        </is>
      </c>
      <c r="L3" s="25" t="inlineStr">
        <is>
          <t>复用度</t>
        </is>
      </c>
      <c r="M3" s="26" t="inlineStr">
        <is>
          <t>CFP</t>
        </is>
      </c>
      <c r="N3" s="22" t="n"/>
      <c r="O3" s="22" t="n"/>
      <c r="P3" s="22" t="n"/>
      <c r="Q3" s="22" t="n"/>
      <c r="R3" s="22" t="n"/>
    </row>
    <row r="4" ht="16.5" customHeight="1">
      <c r="A4" s="51" t="n"/>
      <c r="B4" s="24" t="inlineStr">
        <is>
          <t>一级模块</t>
        </is>
      </c>
      <c r="C4" s="24" t="inlineStr">
        <is>
          <t>二级模块</t>
        </is>
      </c>
      <c r="D4" s="24" t="inlineStr">
        <is>
          <t>三级模块</t>
        </is>
      </c>
      <c r="E4" s="52" t="n"/>
      <c r="F4" s="52" t="n"/>
      <c r="G4" s="52" t="n"/>
      <c r="H4" s="52" t="n"/>
      <c r="I4" s="52" t="n"/>
      <c r="J4" s="52" t="n"/>
      <c r="K4" s="52" t="n"/>
      <c r="L4" s="52" t="n"/>
      <c r="M4" s="52" t="n"/>
      <c r="N4" s="22" t="n"/>
      <c r="O4" s="22" t="n"/>
      <c r="P4" s="22" t="n"/>
      <c r="Q4" s="22" t="n"/>
      <c r="R4" s="22" t="n"/>
    </row>
    <row r="5" ht="140" customHeight="1">
      <c r="A5" s="30" t="inlineStr">
        <is>
          <t>具备正式工单号的项目名称</t>
        </is>
      </c>
      <c r="B5" s="30" t="inlineStr">
        <is>
          <t>本次需求需要改造的本项目（或子系统）中已有的一级业务功能名称，或者本次需求新增的本项目（或子系统）的一级业务功能名称</t>
        </is>
      </c>
      <c r="C5" s="31" t="inlineStr">
        <is>
          <t>本次需求需要改造的本项目（或子系统）中已有的二级业务功能名称，或者本次需求新增的本项目（或子系统）的二级业务功能名称</t>
        </is>
      </c>
      <c r="D5" s="31" t="inlineStr">
        <is>
          <t>本次需求需要改造的本项目（或子系统）中已有的三级业务功能名称，或者本次需求新增的本项目（或子系统）的三级业务功能名称。选填。</t>
        </is>
      </c>
      <c r="E5" s="31" t="inlineStr">
        <is>
          <t>一个（类）用户是软件块的功能性用户需求中数据的发送者或者预期的接收者。（功能用户可能是自然人、系统、程序、模块）若数据发起者有多个，要求拆分为1对1 的进行填写。</t>
        </is>
      </c>
      <c r="F5" s="31" t="inlineStr">
        <is>
          <t>待度量软件的功能性用户需求中可识别的一个事件，此事件使得一个或多个软件功能用户产生一个或多个数据组，每个数据组随后被一个触发输入所移动。</t>
        </is>
      </c>
      <c r="G5" s="31" t="inlineStr">
        <is>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is>
      </c>
      <c r="H5" s="30" t="inlineStr">
        <is>
          <t>1、每个功能处理由一系列子过程组成。
2、一个子处理可以是一个数据移动或者数据运算。
3、一个功能过程至少需要包括两个或两个以上子过程描述
4、建议子过程描述的字数控制在50以内。</t>
        </is>
      </c>
      <c r="I5" s="31" t="inlineStr">
        <is>
          <t xml:space="preserve">COSMIC规定的四种数据移动类型。包括：输入（E）输出（X）读（R）写（W），四选一。每个功能过程的数据移动类型的第一步必须是E，最后一步必须是W或者X。
</t>
        </is>
      </c>
      <c r="J5" s="30" t="inlineStr">
        <is>
          <t>数据组是一个唯一的、非空的、无序的数据属性的集合。</t>
        </is>
      </c>
      <c r="K5" s="30" t="inlineStr">
        <is>
          <t>一个数据属性是一个已识别的数据组中最小的信息单元，每个数据组一般需要包括三个或三个以上的数据属性。</t>
        </is>
      </c>
      <c r="L5" s="30" t="inlineStr">
        <is>
          <t>表示该功能子过程的复用程度。复用度一般分为三种，即新增、复用和利旧。每一个数据移动表示1个CFP，可根据下拉选项选择。</t>
        </is>
      </c>
      <c r="M5" s="30" t="inlineStr">
        <is>
          <t>COSMIC功能点。根据复用度对功能点进行取值，“新增”记1CFP，“复用”记1/3CFP，“利旧”不计入功能点（0CFP）。</t>
        </is>
      </c>
      <c r="N5" s="22" t="n"/>
      <c r="O5" s="22" t="n"/>
      <c r="P5" s="22" t="n"/>
      <c r="Q5" s="22" t="n"/>
      <c r="R5" s="22" t="n"/>
    </row>
    <row r="6" ht="54" customHeight="1">
      <c r="A6" s="53" t="inlineStr">
        <is>
          <t>关于构建垂直行业场景化营销的需求</t>
        </is>
      </c>
      <c r="B6" s="53" t="inlineStr">
        <is>
          <t>垂直行业营销</t>
        </is>
      </c>
      <c r="C6" s="53" t="inlineStr">
        <is>
          <t>垂直行业管理</t>
        </is>
      </c>
      <c r="D6" s="53" t="inlineStr">
        <is>
          <t>垂直行业管理</t>
        </is>
      </c>
      <c r="E6" s="53" t="inlineStr">
        <is>
          <t>发起者：操作员
接收者：地市后台</t>
        </is>
      </c>
      <c r="F6" s="53" t="inlineStr">
        <is>
          <t>用户触发</t>
        </is>
      </c>
      <c r="G6" s="53" t="inlineStr">
        <is>
          <t>删除垂直行业</t>
        </is>
      </c>
      <c r="H6" s="54" t="inlineStr">
        <is>
          <t>点击删除按钮提交删除指令</t>
        </is>
      </c>
      <c r="I6" s="53" t="inlineStr">
        <is>
          <t>E</t>
        </is>
      </c>
      <c r="J6" s="54" t="inlineStr">
        <is>
          <t>删除垂直行业请求</t>
        </is>
      </c>
      <c r="K6" s="54" t="inlineStr">
        <is>
          <t>行业ID、用户ID、操作时间</t>
        </is>
      </c>
      <c r="L6" s="53" t="inlineStr">
        <is>
          <t>新增</t>
        </is>
      </c>
      <c r="M6" s="55">
        <f>IF(L6="新增",1,IF(L6="复用",1/3,0))</f>
        <v/>
      </c>
      <c r="N6" s="22" t="n"/>
      <c r="O6" s="22" t="n"/>
      <c r="P6" s="22" t="n"/>
      <c r="Q6" s="22" t="n"/>
      <c r="R6" s="22" t="n"/>
    </row>
    <row r="7" ht="54" customHeight="1">
      <c r="A7" s="56" t="n"/>
      <c r="B7" s="56" t="n"/>
      <c r="C7" s="56" t="n"/>
      <c r="D7" s="56" t="n"/>
      <c r="E7" s="57" t="n"/>
      <c r="F7" s="57" t="n"/>
      <c r="G7" s="57" t="n"/>
      <c r="H7" s="54" t="inlineStr">
        <is>
          <t>从数据库删除垂直行业记录</t>
        </is>
      </c>
      <c r="I7" s="53" t="inlineStr">
        <is>
          <t>W</t>
        </is>
      </c>
      <c r="J7" s="54" t="inlineStr">
        <is>
          <t>垂直行业表</t>
        </is>
      </c>
      <c r="K7" s="54" t="inlineStr">
        <is>
          <t>行业ID、行业名称、行业编码</t>
        </is>
      </c>
      <c r="L7" s="53" t="inlineStr">
        <is>
          <t>新增</t>
        </is>
      </c>
      <c r="M7" s="55">
        <f>IF(L7="新增",1,IF(L7="复用",1/3,0))</f>
        <v/>
      </c>
      <c r="N7" s="22" t="n"/>
      <c r="O7" s="22" t="n"/>
      <c r="P7" s="22" t="n"/>
      <c r="Q7" s="22" t="n"/>
      <c r="R7" s="22" t="n"/>
    </row>
    <row r="8" ht="54" customHeight="1">
      <c r="A8" s="56" t="n"/>
      <c r="B8" s="56" t="n"/>
      <c r="C8" s="56" t="n"/>
      <c r="D8" s="56" t="n"/>
      <c r="E8" s="53" t="inlineStr">
        <is>
          <t>发起者：操作员
接收者：地市后台</t>
        </is>
      </c>
      <c r="F8" s="53" t="inlineStr">
        <is>
          <t>用户触发</t>
        </is>
      </c>
      <c r="G8" s="53" t="inlineStr">
        <is>
          <t>删除垂直行业管理员</t>
        </is>
      </c>
      <c r="H8" s="54" t="inlineStr">
        <is>
          <t>点击删除管理员按钮提交删除指令</t>
        </is>
      </c>
      <c r="I8" s="53" t="inlineStr">
        <is>
          <t>E</t>
        </is>
      </c>
      <c r="J8" s="54" t="inlineStr">
        <is>
          <t>删除管理员请求</t>
        </is>
      </c>
      <c r="K8" s="54" t="inlineStr">
        <is>
          <t>管理员ID、行业ID、用户ID</t>
        </is>
      </c>
      <c r="L8" s="53" t="inlineStr">
        <is>
          <t>新增</t>
        </is>
      </c>
      <c r="M8" s="55">
        <f>IF(L8="新增",1,IF(L8="复用",1/3,0))</f>
        <v/>
      </c>
      <c r="N8" s="22" t="n"/>
      <c r="O8" s="22" t="n"/>
      <c r="P8" s="22" t="n"/>
      <c r="Q8" s="22" t="n"/>
      <c r="R8" s="22" t="n"/>
    </row>
    <row r="9" ht="54" customHeight="1">
      <c r="A9" s="56" t="n"/>
      <c r="B9" s="56" t="n"/>
      <c r="C9" s="56" t="n"/>
      <c r="D9" s="56" t="n"/>
      <c r="E9" s="57" t="n"/>
      <c r="F9" s="57" t="n"/>
      <c r="G9" s="57" t="n"/>
      <c r="H9" s="54" t="inlineStr">
        <is>
          <t>从数据库删除管理员记录</t>
        </is>
      </c>
      <c r="I9" s="53" t="inlineStr">
        <is>
          <t>W</t>
        </is>
      </c>
      <c r="J9" s="54" t="inlineStr">
        <is>
          <t>垂直行业管理员表</t>
        </is>
      </c>
      <c r="K9" s="54" t="inlineStr">
        <is>
          <t>管理员ID、管理员名称、邮箱</t>
        </is>
      </c>
      <c r="L9" s="53" t="inlineStr">
        <is>
          <t>新增</t>
        </is>
      </c>
      <c r="M9" s="55">
        <f>IF(L9="新增",1,IF(L9="复用",1/3,0))</f>
        <v/>
      </c>
      <c r="N9" s="22" t="n"/>
      <c r="O9" s="22" t="n"/>
      <c r="P9" s="22" t="n"/>
      <c r="Q9" s="22" t="n"/>
      <c r="R9" s="22" t="n"/>
    </row>
    <row r="10" ht="54" customHeight="1">
      <c r="A10" s="56" t="n"/>
      <c r="B10" s="56" t="n"/>
      <c r="C10" s="56" t="n"/>
      <c r="D10" s="56" t="n"/>
      <c r="E10" s="53" t="inlineStr">
        <is>
          <t>发起者：操作员
接收者：地市后台</t>
        </is>
      </c>
      <c r="F10" s="53" t="inlineStr">
        <is>
          <t>用户触发</t>
        </is>
      </c>
      <c r="G10" s="53" t="inlineStr">
        <is>
          <t>垂直行业列表数据查询</t>
        </is>
      </c>
      <c r="H10" s="54" t="inlineStr">
        <is>
          <t>用户输入搜索条件或点击查询按钮</t>
        </is>
      </c>
      <c r="I10" s="53" t="inlineStr">
        <is>
          <t>E</t>
        </is>
      </c>
      <c r="J10" s="54" t="inlineStr">
        <is>
          <t>列表查询请求</t>
        </is>
      </c>
      <c r="K10" s="54" t="inlineStr">
        <is>
          <t>行业名称、状态、页码、页大小</t>
        </is>
      </c>
      <c r="L10" s="53" t="inlineStr">
        <is>
          <t>新增</t>
        </is>
      </c>
      <c r="M10" s="55">
        <f>IF(L10="新增",1,IF(L10="复用",1/3,0))</f>
        <v/>
      </c>
      <c r="N10" s="22" t="n"/>
      <c r="O10" s="22" t="n"/>
      <c r="P10" s="22" t="n"/>
      <c r="Q10" s="22" t="n"/>
      <c r="R10" s="22" t="n"/>
    </row>
    <row r="11" ht="54" customHeight="1">
      <c r="A11" s="56" t="n"/>
      <c r="B11" s="56" t="n"/>
      <c r="C11" s="56" t="n"/>
      <c r="D11" s="56" t="n"/>
      <c r="E11" s="56" t="n"/>
      <c r="F11" s="56" t="n"/>
      <c r="G11" s="56" t="n"/>
      <c r="H11" s="54" t="inlineStr">
        <is>
          <t>从数据库读取垂直行业列表数据</t>
        </is>
      </c>
      <c r="I11" s="53" t="inlineStr">
        <is>
          <t>R</t>
        </is>
      </c>
      <c r="J11" s="54" t="inlineStr">
        <is>
          <t>垂直行业表</t>
        </is>
      </c>
      <c r="K11" s="54" t="inlineStr">
        <is>
          <t>行业ID、行业名称、行业编码、状态、排序号、创建时间</t>
        </is>
      </c>
      <c r="L11" s="53" t="inlineStr">
        <is>
          <t>新增</t>
        </is>
      </c>
      <c r="M11" s="55">
        <f>IF(L11="新增",1,IF(L11="复用",1/3,0))</f>
        <v/>
      </c>
      <c r="N11" s="22" t="n"/>
      <c r="O11" s="22" t="n"/>
      <c r="P11" s="22" t="n"/>
      <c r="Q11" s="22" t="n"/>
      <c r="R11" s="22" t="n"/>
    </row>
    <row r="12" ht="54" customHeight="1">
      <c r="A12" s="56" t="n"/>
      <c r="B12" s="56" t="n"/>
      <c r="C12" s="56" t="n"/>
      <c r="D12" s="56" t="n"/>
      <c r="E12" s="57" t="n"/>
      <c r="F12" s="57" t="n"/>
      <c r="G12" s="57" t="n"/>
      <c r="H12" s="54" t="inlineStr">
        <is>
          <t>返回并展示垂直行业列表</t>
        </is>
      </c>
      <c r="I12" s="53" t="inlineStr">
        <is>
          <t>X</t>
        </is>
      </c>
      <c r="J12" s="54" t="inlineStr">
        <is>
          <t>垂直行业列表响应</t>
        </is>
      </c>
      <c r="K12" s="54" t="inlineStr">
        <is>
          <t>行业列表、分页信息、总计</t>
        </is>
      </c>
      <c r="L12" s="53" t="inlineStr">
        <is>
          <t>新增</t>
        </is>
      </c>
      <c r="M12" s="55">
        <f>IF(L12="新增",1,IF(L12="复用",1/3,0))</f>
        <v/>
      </c>
      <c r="N12" s="22" t="n"/>
      <c r="O12" s="22" t="n"/>
      <c r="P12" s="22" t="n"/>
      <c r="Q12" s="22" t="n"/>
      <c r="R12" s="22" t="n"/>
    </row>
    <row r="13" ht="54" customHeight="1">
      <c r="A13" s="56" t="n"/>
      <c r="B13" s="56" t="n"/>
      <c r="C13" s="56" t="n"/>
      <c r="D13" s="56" t="n"/>
      <c r="E13" s="53" t="inlineStr">
        <is>
          <t>发起者：操作员
接收者：地市后台</t>
        </is>
      </c>
      <c r="F13" s="53" t="inlineStr">
        <is>
          <t>用户触发</t>
        </is>
      </c>
      <c r="G13" s="53" t="inlineStr">
        <is>
          <t>新增垂直行业管理员</t>
        </is>
      </c>
      <c r="H13" s="54" t="inlineStr">
        <is>
          <t>提交新增管理员表单数据</t>
        </is>
      </c>
      <c r="I13" s="53" t="inlineStr">
        <is>
          <t>E</t>
        </is>
      </c>
      <c r="J13" s="54" t="inlineStr">
        <is>
          <t>新增管理员请求</t>
        </is>
      </c>
      <c r="K13" s="54" t="inlineStr">
        <is>
          <t>关联行业ID、管理员名称、邮箱、手机</t>
        </is>
      </c>
      <c r="L13" s="53" t="inlineStr">
        <is>
          <t>新增</t>
        </is>
      </c>
      <c r="M13" s="55">
        <f>IF(L13="新增",1,IF(L13="复用",1/3,0))</f>
        <v/>
      </c>
      <c r="N13" s="22" t="n"/>
      <c r="O13" s="22" t="n"/>
      <c r="P13" s="22" t="n"/>
      <c r="Q13" s="22" t="n"/>
      <c r="R13" s="22" t="n"/>
    </row>
    <row r="14" ht="54" customHeight="1">
      <c r="A14" s="56" t="n"/>
      <c r="B14" s="56" t="n"/>
      <c r="C14" s="56" t="n"/>
      <c r="D14" s="56" t="n"/>
      <c r="E14" s="57" t="n"/>
      <c r="F14" s="57" t="n"/>
      <c r="G14" s="57" t="n"/>
      <c r="H14" s="54" t="inlineStr">
        <is>
          <t>将管理员数据存入数据库</t>
        </is>
      </c>
      <c r="I14" s="53" t="inlineStr">
        <is>
          <t>W</t>
        </is>
      </c>
      <c r="J14" s="54" t="inlineStr">
        <is>
          <t>垂直行业管理员表</t>
        </is>
      </c>
      <c r="K14" s="54" t="inlineStr">
        <is>
          <t>管理员ID、关联行业ID、管理员名称、邮箱、手机</t>
        </is>
      </c>
      <c r="L14" s="53" t="inlineStr">
        <is>
          <t>新增</t>
        </is>
      </c>
      <c r="M14" s="55">
        <f>IF(L14="新增",1,IF(L14="复用",1/3,0))</f>
        <v/>
      </c>
      <c r="N14" s="22" t="n"/>
      <c r="O14" s="22" t="n"/>
      <c r="P14" s="22" t="n"/>
      <c r="Q14" s="22" t="n"/>
      <c r="R14" s="22" t="n"/>
    </row>
    <row r="15" ht="54" customHeight="1">
      <c r="A15" s="56" t="n"/>
      <c r="B15" s="56" t="n"/>
      <c r="C15" s="56" t="n"/>
      <c r="D15" s="56" t="n"/>
      <c r="E15" s="53" t="inlineStr">
        <is>
          <t>发起者：操作员
接收者：地市后台</t>
        </is>
      </c>
      <c r="F15" s="53" t="inlineStr">
        <is>
          <t>用户触发</t>
        </is>
      </c>
      <c r="G15" s="53" t="inlineStr">
        <is>
          <t>查询垂直行业数据</t>
        </is>
      </c>
      <c r="H15" s="54" t="inlineStr">
        <is>
          <t>点击查看或编辑单个行业</t>
        </is>
      </c>
      <c r="I15" s="53" t="inlineStr">
        <is>
          <t>E</t>
        </is>
      </c>
      <c r="J15" s="54" t="inlineStr">
        <is>
          <t>行业详情请求</t>
        </is>
      </c>
      <c r="K15" s="54" t="inlineStr">
        <is>
          <t>行业ID、用户ID</t>
        </is>
      </c>
      <c r="L15" s="53" t="inlineStr">
        <is>
          <t>新增</t>
        </is>
      </c>
      <c r="M15" s="55">
        <f>IF(L15="新增",1,IF(L15="复用",1/3,0))</f>
        <v/>
      </c>
      <c r="N15" s="22" t="n"/>
      <c r="O15" s="22" t="n"/>
      <c r="P15" s="22" t="n"/>
      <c r="Q15" s="22" t="n"/>
      <c r="R15" s="22" t="n"/>
    </row>
    <row r="16" ht="54" customHeight="1">
      <c r="A16" s="56" t="n"/>
      <c r="B16" s="56" t="n"/>
      <c r="C16" s="56" t="n"/>
      <c r="D16" s="56" t="n"/>
      <c r="E16" s="56" t="n"/>
      <c r="F16" s="56" t="n"/>
      <c r="G16" s="56" t="n"/>
      <c r="H16" s="54" t="inlineStr">
        <is>
          <t>从数据库读取垂直行业数据</t>
        </is>
      </c>
      <c r="I16" s="53" t="inlineStr">
        <is>
          <t>R</t>
        </is>
      </c>
      <c r="J16" s="54" t="inlineStr">
        <is>
          <t>垂直行业表</t>
        </is>
      </c>
      <c r="K16" s="54" t="inlineStr">
        <is>
          <t>行业ID、行业名称、行业编码、状态、排序号、创建时间</t>
        </is>
      </c>
      <c r="L16" s="53" t="inlineStr">
        <is>
          <t>新增</t>
        </is>
      </c>
      <c r="M16" s="55">
        <f>IF(L16="新增",1,IF(L16="复用",1/3,0))</f>
        <v/>
      </c>
      <c r="N16" s="22" t="n"/>
      <c r="O16" s="22" t="n"/>
      <c r="P16" s="22" t="n"/>
      <c r="Q16" s="22" t="n"/>
      <c r="R16" s="22" t="n"/>
    </row>
    <row r="17" ht="54" customHeight="1">
      <c r="A17" s="56" t="n"/>
      <c r="B17" s="56" t="n"/>
      <c r="C17" s="56" t="n"/>
      <c r="D17" s="56" t="n"/>
      <c r="E17" s="57" t="n"/>
      <c r="F17" s="57" t="n"/>
      <c r="G17" s="57" t="n"/>
      <c r="H17" s="54" t="inlineStr">
        <is>
          <t>返回并展示行业详情页面</t>
        </is>
      </c>
      <c r="I17" s="53" t="inlineStr">
        <is>
          <t>X</t>
        </is>
      </c>
      <c r="J17" s="54" t="inlineStr">
        <is>
          <t>行业详情响应</t>
        </is>
      </c>
      <c r="K17" s="54" t="inlineStr">
        <is>
          <t>行业名称、行业编码、状态、排序号、创建时间</t>
        </is>
      </c>
      <c r="L17" s="53" t="inlineStr">
        <is>
          <t>新增</t>
        </is>
      </c>
      <c r="M17" s="55">
        <f>IF(L17="新增",1,IF(L17="复用",1/3,0))</f>
        <v/>
      </c>
      <c r="N17" s="22" t="n"/>
      <c r="O17" s="22" t="n"/>
      <c r="P17" s="22" t="n"/>
      <c r="Q17" s="22" t="n"/>
      <c r="R17" s="22" t="n"/>
    </row>
    <row r="18" ht="54" customHeight="1">
      <c r="A18" s="56" t="n"/>
      <c r="B18" s="56" t="n"/>
      <c r="C18" s="56" t="n"/>
      <c r="D18" s="56" t="n"/>
      <c r="E18" s="53" t="inlineStr">
        <is>
          <t>发起者：操作员
接收者：地市后台</t>
        </is>
      </c>
      <c r="F18" s="53" t="inlineStr">
        <is>
          <t>用户触发</t>
        </is>
      </c>
      <c r="G18" s="53" t="inlineStr">
        <is>
          <t>添加垂直行业</t>
        </is>
      </c>
      <c r="H18" s="54" t="inlineStr">
        <is>
          <t>提交新增行业表单数据</t>
        </is>
      </c>
      <c r="I18" s="53" t="inlineStr">
        <is>
          <t>E</t>
        </is>
      </c>
      <c r="J18" s="54" t="inlineStr">
        <is>
          <t>新增行业请求</t>
        </is>
      </c>
      <c r="K18" s="54" t="inlineStr">
        <is>
          <t>行业名称、行业编码、状态、排序号</t>
        </is>
      </c>
      <c r="L18" s="53" t="inlineStr">
        <is>
          <t>新增</t>
        </is>
      </c>
      <c r="M18" s="55">
        <f>IF(L18="新增",1,IF(L18="复用",1/3,0))</f>
        <v/>
      </c>
      <c r="N18" s="22" t="n"/>
      <c r="O18" s="22" t="n"/>
      <c r="P18" s="22" t="n"/>
      <c r="Q18" s="22" t="n"/>
      <c r="R18" s="22" t="n"/>
    </row>
    <row r="19" ht="54" customHeight="1">
      <c r="A19" s="56" t="n"/>
      <c r="B19" s="56" t="n"/>
      <c r="C19" s="56" t="n"/>
      <c r="D19" s="56" t="n"/>
      <c r="E19" s="57" t="n"/>
      <c r="F19" s="57" t="n"/>
      <c r="G19" s="57" t="n"/>
      <c r="H19" s="54" t="inlineStr">
        <is>
          <t>将行业数据存入数据库</t>
        </is>
      </c>
      <c r="I19" s="53" t="inlineStr">
        <is>
          <t>W</t>
        </is>
      </c>
      <c r="J19" s="54" t="inlineStr">
        <is>
          <t>垂直行业表</t>
        </is>
      </c>
      <c r="K19" s="54" t="inlineStr">
        <is>
          <t>行业ID、行业名称、行业编码、状态、排序号</t>
        </is>
      </c>
      <c r="L19" s="53" t="inlineStr">
        <is>
          <t>新增</t>
        </is>
      </c>
      <c r="M19" s="55">
        <f>IF(L19="新增",1,IF(L19="复用",1/3,0))</f>
        <v/>
      </c>
      <c r="N19" s="22" t="n"/>
      <c r="O19" s="22" t="n"/>
      <c r="P19" s="22" t="n"/>
      <c r="Q19" s="22" t="n"/>
      <c r="R19" s="22" t="n"/>
    </row>
    <row r="20" ht="54" customHeight="1">
      <c r="A20" s="56" t="n"/>
      <c r="B20" s="56" t="n"/>
      <c r="C20" s="56" t="n"/>
      <c r="D20" s="56" t="n"/>
      <c r="E20" s="53" t="inlineStr">
        <is>
          <t>发起者：操作员
接收者：地市后台</t>
        </is>
      </c>
      <c r="F20" s="53" t="inlineStr">
        <is>
          <t>用户触发</t>
        </is>
      </c>
      <c r="G20" s="53" t="inlineStr">
        <is>
          <t>编辑垂直行业</t>
        </is>
      </c>
      <c r="H20" s="54" t="inlineStr">
        <is>
          <t>提交编辑后的行业表单数据</t>
        </is>
      </c>
      <c r="I20" s="53" t="inlineStr">
        <is>
          <t>E</t>
        </is>
      </c>
      <c r="J20" s="54" t="inlineStr">
        <is>
          <t>编辑行业请求</t>
        </is>
      </c>
      <c r="K20" s="54" t="inlineStr">
        <is>
          <t>行业ID、行业名称、行业编码、状态、排序号</t>
        </is>
      </c>
      <c r="L20" s="53" t="inlineStr">
        <is>
          <t>新增</t>
        </is>
      </c>
      <c r="M20" s="55">
        <f>IF(L20="新增",1,IF(L20="复用",1/3,0))</f>
        <v/>
      </c>
      <c r="N20" s="22" t="n"/>
      <c r="O20" s="22" t="n"/>
      <c r="P20" s="22" t="n"/>
      <c r="Q20" s="22" t="n"/>
      <c r="R20" s="22" t="n"/>
    </row>
    <row r="21" ht="54" customHeight="1">
      <c r="A21" s="56" t="n"/>
      <c r="B21" s="56" t="n"/>
      <c r="C21" s="56" t="n"/>
      <c r="D21" s="57" t="n"/>
      <c r="E21" s="57" t="n"/>
      <c r="F21" s="57" t="n"/>
      <c r="G21" s="57" t="n"/>
      <c r="H21" s="54" t="inlineStr">
        <is>
          <t>更新数据库中的行业记录</t>
        </is>
      </c>
      <c r="I21" s="53" t="inlineStr">
        <is>
          <t>W</t>
        </is>
      </c>
      <c r="J21" s="54" t="inlineStr">
        <is>
          <t>垂直行业表</t>
        </is>
      </c>
      <c r="K21" s="54" t="inlineStr">
        <is>
          <t>行业ID、行业名称、行业编码、状态、排序号</t>
        </is>
      </c>
      <c r="L21" s="53" t="inlineStr">
        <is>
          <t>新增</t>
        </is>
      </c>
      <c r="M21" s="55">
        <f>IF(L21="新增",1,IF(L21="复用",1/3,0))</f>
        <v/>
      </c>
      <c r="N21" s="22" t="n"/>
      <c r="O21" s="22" t="n"/>
      <c r="P21" s="22" t="n"/>
      <c r="Q21" s="22" t="n"/>
      <c r="R21" s="22" t="n"/>
    </row>
    <row r="22" ht="54" customHeight="1">
      <c r="A22" s="56" t="n"/>
      <c r="B22" s="56" t="n"/>
      <c r="C22" s="56" t="n"/>
      <c r="D22" s="53" t="inlineStr">
        <is>
          <t>合伙商管理</t>
        </is>
      </c>
      <c r="E22" s="53" t="inlineStr">
        <is>
          <t>发起者：操作员
接收者：地市后台</t>
        </is>
      </c>
      <c r="F22" s="53" t="inlineStr">
        <is>
          <t>用户触发</t>
        </is>
      </c>
      <c r="G22" s="53" t="inlineStr">
        <is>
          <t>删除合作商</t>
        </is>
      </c>
      <c r="H22" s="54" t="inlineStr">
        <is>
          <t>点击删除按钮提交删除指令</t>
        </is>
      </c>
      <c r="I22" s="53" t="inlineStr">
        <is>
          <t>E</t>
        </is>
      </c>
      <c r="J22" s="54" t="inlineStr">
        <is>
          <t>删除指令</t>
        </is>
      </c>
      <c r="K22" s="54" t="inlineStr">
        <is>
          <t>合作商ID、用户ID、删除原因</t>
        </is>
      </c>
      <c r="L22" s="53" t="inlineStr">
        <is>
          <t>新增</t>
        </is>
      </c>
      <c r="M22" s="55">
        <f>IF(L22="新增",1,IF(L22="复用",1/3,0))</f>
        <v/>
      </c>
      <c r="N22" s="22" t="n"/>
      <c r="O22" s="22" t="n"/>
      <c r="P22" s="22" t="n"/>
      <c r="Q22" s="22" t="n"/>
      <c r="R22" s="22" t="n"/>
    </row>
    <row r="23" ht="54" customHeight="1">
      <c r="A23" s="56" t="n"/>
      <c r="B23" s="56" t="n"/>
      <c r="C23" s="56" t="n"/>
      <c r="D23" s="56" t="n"/>
      <c r="E23" s="57" t="n"/>
      <c r="F23" s="57" t="n"/>
      <c r="G23" s="57" t="n"/>
      <c r="H23" s="54" t="inlineStr">
        <is>
          <t>删除数据库中的合作商记录</t>
        </is>
      </c>
      <c r="I23" s="53" t="inlineStr">
        <is>
          <t>W</t>
        </is>
      </c>
      <c r="J23" s="54" t="inlineStr">
        <is>
          <t>合作商表</t>
        </is>
      </c>
      <c r="K23" s="54" t="inlineStr">
        <is>
          <t>合作商ID、名称、联系人、联系电话、行业、状态</t>
        </is>
      </c>
      <c r="L23" s="53" t="inlineStr">
        <is>
          <t>新增</t>
        </is>
      </c>
      <c r="M23" s="55">
        <f>IF(L23="新增",1,IF(L23="复用",1/3,0))</f>
        <v/>
      </c>
      <c r="N23" s="22" t="n"/>
      <c r="O23" s="22" t="n"/>
      <c r="P23" s="22" t="n"/>
      <c r="Q23" s="22" t="n"/>
      <c r="R23" s="22" t="n"/>
    </row>
    <row r="24" ht="54" customHeight="1">
      <c r="A24" s="56" t="n"/>
      <c r="B24" s="56" t="n"/>
      <c r="C24" s="56" t="n"/>
      <c r="D24" s="56" t="n"/>
      <c r="E24" s="53" t="inlineStr">
        <is>
          <t>发起者：操作员
接收者：地市后台</t>
        </is>
      </c>
      <c r="F24" s="53" t="inlineStr">
        <is>
          <t>用户触发</t>
        </is>
      </c>
      <c r="G24" s="53" t="inlineStr">
        <is>
          <t>搜索合作商</t>
        </is>
      </c>
      <c r="H24" s="54" t="inlineStr">
        <is>
          <t>输入查询条件并点击搜索</t>
        </is>
      </c>
      <c r="I24" s="53" t="inlineStr">
        <is>
          <t>E</t>
        </is>
      </c>
      <c r="J24" s="54" t="inlineStr">
        <is>
          <t>合作商查询条件</t>
        </is>
      </c>
      <c r="K24" s="54" t="inlineStr">
        <is>
          <t>合作商名称、所属行业、联系人</t>
        </is>
      </c>
      <c r="L24" s="53" t="inlineStr">
        <is>
          <t>新增</t>
        </is>
      </c>
      <c r="M24" s="55">
        <f>IF(L24="新增",1,IF(L24="复用",1/3,0))</f>
        <v/>
      </c>
      <c r="N24" s="22" t="n"/>
      <c r="O24" s="22" t="n"/>
      <c r="P24" s="22" t="n"/>
      <c r="Q24" s="22" t="n"/>
      <c r="R24" s="22" t="n"/>
    </row>
    <row r="25" ht="54" customHeight="1">
      <c r="A25" s="56" t="n"/>
      <c r="B25" s="56" t="n"/>
      <c r="C25" s="56" t="n"/>
      <c r="D25" s="56" t="n"/>
      <c r="E25" s="56" t="n"/>
      <c r="F25" s="56" t="n"/>
      <c r="G25" s="56" t="n"/>
      <c r="H25" s="54" t="inlineStr">
        <is>
          <t>根据条件读取合作商列表数据</t>
        </is>
      </c>
      <c r="I25" s="53" t="inlineStr">
        <is>
          <t>R</t>
        </is>
      </c>
      <c r="J25" s="54" t="inlineStr">
        <is>
          <t>合作商列表数据</t>
        </is>
      </c>
      <c r="K25" s="54" t="inlineStr">
        <is>
          <t>合作商ID、名称、联系人、联系电话、行业、状态、创建时间</t>
        </is>
      </c>
      <c r="L25" s="53" t="inlineStr">
        <is>
          <t>新增</t>
        </is>
      </c>
      <c r="M25" s="55">
        <f>IF(L25="新增",1,IF(L25="复用",1/3,0))</f>
        <v/>
      </c>
      <c r="N25" s="22" t="n"/>
      <c r="O25" s="22" t="n"/>
      <c r="P25" s="22" t="n"/>
      <c r="Q25" s="22" t="n"/>
      <c r="R25" s="22" t="n"/>
    </row>
    <row r="26" ht="54" customHeight="1">
      <c r="A26" s="56" t="n"/>
      <c r="B26" s="56" t="n"/>
      <c r="C26" s="56" t="n"/>
      <c r="D26" s="56" t="n"/>
      <c r="E26" s="57" t="n"/>
      <c r="F26" s="57" t="n"/>
      <c r="G26" s="57" t="n"/>
      <c r="H26" s="54" t="inlineStr">
        <is>
          <t>返回并展示合作商列表</t>
        </is>
      </c>
      <c r="I26" s="53" t="inlineStr">
        <is>
          <t>X</t>
        </is>
      </c>
      <c r="J26" s="54" t="inlineStr">
        <is>
          <t>合作商列表响应</t>
        </is>
      </c>
      <c r="K26" s="54" t="inlineStr">
        <is>
          <t>合作商ID、名称、联系人、联系电话、行业、状态</t>
        </is>
      </c>
      <c r="L26" s="53" t="inlineStr">
        <is>
          <t>新增</t>
        </is>
      </c>
      <c r="M26" s="55">
        <f>IF(L26="新增",1,IF(L26="复用",1/3,0))</f>
        <v/>
      </c>
      <c r="N26" s="22" t="n"/>
      <c r="O26" s="22" t="n"/>
      <c r="P26" s="22" t="n"/>
      <c r="Q26" s="22" t="n"/>
      <c r="R26" s="22" t="n"/>
    </row>
    <row r="27" ht="54" customHeight="1">
      <c r="A27" s="56" t="n"/>
      <c r="B27" s="56" t="n"/>
      <c r="C27" s="56" t="n"/>
      <c r="D27" s="56" t="n"/>
      <c r="E27" s="53" t="inlineStr">
        <is>
          <t>发起者：操作员
接收者：地市后台</t>
        </is>
      </c>
      <c r="F27" s="53" t="inlineStr">
        <is>
          <t>用户触发</t>
        </is>
      </c>
      <c r="G27" s="53" t="inlineStr">
        <is>
          <t>添加合作商</t>
        </is>
      </c>
      <c r="H27" s="54" t="inlineStr">
        <is>
          <t>点击添加按钮并提交合作商信息</t>
        </is>
      </c>
      <c r="I27" s="53" t="inlineStr">
        <is>
          <t>E</t>
        </is>
      </c>
      <c r="J27" s="54" t="inlineStr">
        <is>
          <t>合作商新增表单</t>
        </is>
      </c>
      <c r="K27" s="54" t="inlineStr">
        <is>
          <t>合作商名称、联系人、联系电话、所属行业、地址</t>
        </is>
      </c>
      <c r="L27" s="53" t="inlineStr">
        <is>
          <t>新增</t>
        </is>
      </c>
      <c r="M27" s="55">
        <f>IF(L27="新增",1,IF(L27="复用",1/3,0))</f>
        <v/>
      </c>
      <c r="N27" s="22" t="n"/>
      <c r="O27" s="22" t="n"/>
      <c r="P27" s="22" t="n"/>
      <c r="Q27" s="22" t="n"/>
      <c r="R27" s="22" t="n"/>
    </row>
    <row r="28" ht="54" customHeight="1">
      <c r="A28" s="56" t="n"/>
      <c r="B28" s="56" t="n"/>
      <c r="C28" s="56" t="n"/>
      <c r="D28" s="56" t="n"/>
      <c r="E28" s="57" t="n"/>
      <c r="F28" s="57" t="n"/>
      <c r="G28" s="57" t="n"/>
      <c r="H28" s="54" t="inlineStr">
        <is>
          <t>将新合作商信息写入数据库</t>
        </is>
      </c>
      <c r="I28" s="53" t="inlineStr">
        <is>
          <t>W</t>
        </is>
      </c>
      <c r="J28" s="54" t="inlineStr">
        <is>
          <t>合作商表</t>
        </is>
      </c>
      <c r="K28" s="54" t="inlineStr">
        <is>
          <t>合作商名称、联系人、联系电话、行业、地址、状态</t>
        </is>
      </c>
      <c r="L28" s="53" t="inlineStr">
        <is>
          <t>新增</t>
        </is>
      </c>
      <c r="M28" s="55">
        <f>IF(L28="新增",1,IF(L28="复用",1/3,0))</f>
        <v/>
      </c>
      <c r="N28" s="22" t="n"/>
      <c r="O28" s="22" t="n"/>
      <c r="P28" s="22" t="n"/>
      <c r="Q28" s="22" t="n"/>
      <c r="R28" s="22" t="n"/>
    </row>
    <row r="29" ht="54" customHeight="1">
      <c r="A29" s="56" t="n"/>
      <c r="B29" s="56" t="n"/>
      <c r="C29" s="56" t="n"/>
      <c r="D29" s="56" t="n"/>
      <c r="E29" s="53" t="inlineStr">
        <is>
          <t>发起者：操作员
接收者：地市后台</t>
        </is>
      </c>
      <c r="F29" s="53" t="inlineStr">
        <is>
          <t>用户触发</t>
        </is>
      </c>
      <c r="G29" s="53" t="inlineStr">
        <is>
          <t>编辑合作商</t>
        </is>
      </c>
      <c r="H29" s="54" t="inlineStr">
        <is>
          <t>点击编辑按钮请求编辑页面</t>
        </is>
      </c>
      <c r="I29" s="53" t="inlineStr">
        <is>
          <t>E</t>
        </is>
      </c>
      <c r="J29" s="54" t="inlineStr">
        <is>
          <t>编辑页面请求</t>
        </is>
      </c>
      <c r="K29" s="54" t="inlineStr">
        <is>
          <t>合作商ID、用户ID、页面来源</t>
        </is>
      </c>
      <c r="L29" s="53" t="inlineStr">
        <is>
          <t>新增</t>
        </is>
      </c>
      <c r="M29" s="55">
        <f>IF(L29="新增",1,IF(L29="复用",1/3,0))</f>
        <v/>
      </c>
      <c r="N29" s="22" t="n"/>
      <c r="O29" s="22" t="n"/>
      <c r="P29" s="22" t="n"/>
      <c r="Q29" s="22" t="n"/>
      <c r="R29" s="22" t="n"/>
    </row>
    <row r="30" ht="54" customHeight="1">
      <c r="A30" s="56" t="n"/>
      <c r="B30" s="56" t="n"/>
      <c r="C30" s="56" t="n"/>
      <c r="D30" s="56" t="n"/>
      <c r="E30" s="56" t="n"/>
      <c r="F30" s="56" t="n"/>
      <c r="G30" s="56" t="n"/>
      <c r="H30" s="54" t="inlineStr">
        <is>
          <t>从数据库读取该合作商详情数据</t>
        </is>
      </c>
      <c r="I30" s="53" t="inlineStr">
        <is>
          <t>R</t>
        </is>
      </c>
      <c r="J30" s="54" t="inlineStr">
        <is>
          <t>合作商详情数据</t>
        </is>
      </c>
      <c r="K30" s="54" t="inlineStr">
        <is>
          <t>合作商ID、名称、联系人、联系电话、行业、地址、状态、备注</t>
        </is>
      </c>
      <c r="L30" s="53" t="inlineStr">
        <is>
          <t>新增</t>
        </is>
      </c>
      <c r="M30" s="55">
        <f>IF(L30="新增",1,IF(L30="复用",1/3,0))</f>
        <v/>
      </c>
      <c r="N30" s="22" t="n"/>
      <c r="O30" s="22" t="n"/>
      <c r="P30" s="22" t="n"/>
      <c r="Q30" s="22" t="n"/>
      <c r="R30" s="22" t="n"/>
    </row>
    <row r="31" ht="54" customHeight="1">
      <c r="A31" s="56" t="n"/>
      <c r="B31" s="56" t="n"/>
      <c r="C31" s="56" t="n"/>
      <c r="D31" s="57" t="n"/>
      <c r="E31" s="57" t="n"/>
      <c r="F31" s="57" t="n"/>
      <c r="G31" s="57" t="n"/>
      <c r="H31" s="54" t="inlineStr">
        <is>
          <t>返回并展示编辑页面（包含预填数据）</t>
        </is>
      </c>
      <c r="I31" s="53" t="inlineStr">
        <is>
          <t>X</t>
        </is>
      </c>
      <c r="J31" s="54" t="inlineStr">
        <is>
          <t>合作商编辑页面</t>
        </is>
      </c>
      <c r="K31" s="54" t="inlineStr">
        <is>
          <t>合作商ID、名称、联系人、联系电话、行业、地址、状态、备注</t>
        </is>
      </c>
      <c r="L31" s="53" t="inlineStr">
        <is>
          <t>新增</t>
        </is>
      </c>
      <c r="M31" s="55">
        <f>IF(L31="新增",1,IF(L31="复用",1/3,0))</f>
        <v/>
      </c>
      <c r="N31" s="22" t="n"/>
      <c r="O31" s="22" t="n"/>
      <c r="P31" s="22" t="n"/>
      <c r="Q31" s="22" t="n"/>
      <c r="R31" s="22" t="n"/>
    </row>
    <row r="32" ht="54" customHeight="1">
      <c r="A32" s="56" t="n"/>
      <c r="B32" s="56" t="n"/>
      <c r="C32" s="56" t="n"/>
      <c r="D32" s="53" t="inlineStr">
        <is>
          <t>用户信息</t>
        </is>
      </c>
      <c r="E32" s="53" t="inlineStr">
        <is>
          <t>发起者：操作员
接收者：地市后台</t>
        </is>
      </c>
      <c r="F32" s="53" t="inlineStr">
        <is>
          <t>用户触发</t>
        </is>
      </c>
      <c r="G32" s="53" t="inlineStr">
        <is>
          <t>获取分销员的基础信息</t>
        </is>
      </c>
      <c r="H32" s="54" t="inlineStr">
        <is>
          <t>点击获取分销员基础信息</t>
        </is>
      </c>
      <c r="I32" s="53" t="inlineStr">
        <is>
          <t>E</t>
        </is>
      </c>
      <c r="J32" s="54" t="inlineStr">
        <is>
          <t>分销员信息请求</t>
        </is>
      </c>
      <c r="K32" s="54" t="inlineStr">
        <is>
          <t>分销员ID、操作员标识、需求来源</t>
        </is>
      </c>
      <c r="L32" s="53" t="inlineStr">
        <is>
          <t>新增</t>
        </is>
      </c>
      <c r="M32" s="55">
        <f>IF(L32="新增",1,IF(L32="复用",1/3,0))</f>
        <v/>
      </c>
      <c r="N32" s="22" t="n"/>
      <c r="O32" s="22" t="n"/>
      <c r="P32" s="22" t="n"/>
      <c r="Q32" s="22" t="n"/>
      <c r="R32" s="22" t="n"/>
    </row>
    <row r="33" ht="54" customHeight="1">
      <c r="A33" s="56" t="n"/>
      <c r="B33" s="56" t="n"/>
      <c r="C33" s="56" t="n"/>
      <c r="D33" s="56" t="n"/>
      <c r="E33" s="56" t="n"/>
      <c r="F33" s="56" t="n"/>
      <c r="G33" s="56" t="n"/>
      <c r="H33" s="54" t="inlineStr">
        <is>
          <t>读取分销员基础信息</t>
        </is>
      </c>
      <c r="I33" s="53" t="inlineStr">
        <is>
          <t>R</t>
        </is>
      </c>
      <c r="J33" s="54" t="inlineStr">
        <is>
          <t>分销员信息表</t>
        </is>
      </c>
      <c r="K33" s="54" t="inlineStr">
        <is>
          <t>分销员名称、手机号、等级、状态、创建时间</t>
        </is>
      </c>
      <c r="L33" s="53" t="inlineStr">
        <is>
          <t>新增</t>
        </is>
      </c>
      <c r="M33" s="55">
        <f>IF(L33="新增",1,IF(L33="复用",1/3,0))</f>
        <v/>
      </c>
      <c r="N33" s="22" t="n"/>
      <c r="O33" s="22" t="n"/>
      <c r="P33" s="22" t="n"/>
      <c r="Q33" s="22" t="n"/>
      <c r="R33" s="22" t="n"/>
    </row>
    <row r="34" ht="54" customHeight="1">
      <c r="A34" s="56" t="n"/>
      <c r="B34" s="56" t="n"/>
      <c r="C34" s="56" t="n"/>
      <c r="D34" s="57" t="n"/>
      <c r="E34" s="57" t="n"/>
      <c r="F34" s="57" t="n"/>
      <c r="G34" s="57" t="n"/>
      <c r="H34" s="54" t="inlineStr">
        <is>
          <t>返回展示分销员基础信息</t>
        </is>
      </c>
      <c r="I34" s="53" t="inlineStr">
        <is>
          <t>X</t>
        </is>
      </c>
      <c r="J34" s="54" t="inlineStr">
        <is>
          <t>分销员基础信息响应</t>
        </is>
      </c>
      <c r="K34" s="54" t="inlineStr">
        <is>
          <t>分销员名称、手机号、等级、状态、创建时间</t>
        </is>
      </c>
      <c r="L34" s="53" t="inlineStr">
        <is>
          <t>新增</t>
        </is>
      </c>
      <c r="M34" s="55">
        <f>IF(L34="新增",1,IF(L34="复用",1/3,0))</f>
        <v/>
      </c>
      <c r="N34" s="22" t="n"/>
      <c r="O34" s="22" t="n"/>
      <c r="P34" s="22" t="n"/>
      <c r="Q34" s="22" t="n"/>
      <c r="R34" s="22" t="n"/>
    </row>
    <row r="35" ht="54" customHeight="1">
      <c r="A35" s="56" t="n"/>
      <c r="B35" s="56" t="n"/>
      <c r="C35" s="56" t="n"/>
      <c r="D35" s="53" t="inlineStr">
        <is>
          <t>分销码</t>
        </is>
      </c>
      <c r="E35" s="53" t="inlineStr">
        <is>
          <t>发起者：分销员
接收者：系统后台</t>
        </is>
      </c>
      <c r="F35" s="53" t="inlineStr">
        <is>
          <t>用户触发</t>
        </is>
      </c>
      <c r="G35" s="53" t="inlineStr">
        <is>
          <t>获取垂直行业分销码</t>
        </is>
      </c>
      <c r="H35" s="54" t="inlineStr">
        <is>
          <t>点击进入分销码列表页面</t>
        </is>
      </c>
      <c r="I35" s="53" t="inlineStr">
        <is>
          <t>E</t>
        </is>
      </c>
      <c r="J35" s="54" t="inlineStr">
        <is>
          <t>分销码列表请求</t>
        </is>
      </c>
      <c r="K35" s="54" t="inlineStr">
        <is>
          <t>用户标识、活动ID、分页参数</t>
        </is>
      </c>
      <c r="L35" s="53" t="inlineStr">
        <is>
          <t>新增</t>
        </is>
      </c>
      <c r="M35" s="55">
        <f>IF(L35="新增",1,IF(L35="复用",1/3,0))</f>
        <v/>
      </c>
      <c r="N35" s="22" t="n"/>
      <c r="O35" s="22" t="n"/>
      <c r="P35" s="22" t="n"/>
      <c r="Q35" s="22" t="n"/>
      <c r="R35" s="22" t="n"/>
    </row>
    <row r="36" ht="54" customHeight="1">
      <c r="A36" s="56" t="n"/>
      <c r="B36" s="56" t="n"/>
      <c r="C36" s="56" t="n"/>
      <c r="D36" s="56" t="n"/>
      <c r="E36" s="56" t="n"/>
      <c r="F36" s="56" t="n"/>
      <c r="G36" s="56" t="n"/>
      <c r="H36" s="54" t="inlineStr">
        <is>
          <t>读取所有活动的分销码数据</t>
        </is>
      </c>
      <c r="I36" s="53" t="inlineStr">
        <is>
          <t>R</t>
        </is>
      </c>
      <c r="J36" s="54" t="inlineStr">
        <is>
          <t>活动分销码表</t>
        </is>
      </c>
      <c r="K36" s="54" t="inlineStr">
        <is>
          <t>活动名称、活动编码、分销码、生成时间、有效期</t>
        </is>
      </c>
      <c r="L36" s="53" t="inlineStr">
        <is>
          <t>新增</t>
        </is>
      </c>
      <c r="M36" s="55">
        <f>IF(L36="新增",1,IF(L36="复用",1/3,0))</f>
        <v/>
      </c>
    </row>
    <row r="37" ht="54" customHeight="1">
      <c r="A37" s="56" t="n"/>
      <c r="B37" s="56" t="n"/>
      <c r="C37" s="56" t="n"/>
      <c r="D37" s="57" t="n"/>
      <c r="E37" s="57" t="n"/>
      <c r="F37" s="57" t="n"/>
      <c r="G37" s="57" t="n"/>
      <c r="H37" s="54" t="inlineStr">
        <is>
          <t>返回展示分销码列表页面</t>
        </is>
      </c>
      <c r="I37" s="53" t="inlineStr">
        <is>
          <t>X</t>
        </is>
      </c>
      <c r="J37" s="54" t="inlineStr">
        <is>
          <t>分销码列表响应</t>
        </is>
      </c>
      <c r="K37" s="54" t="inlineStr">
        <is>
          <t>活动名称、分销码、生成时间、列表排序</t>
        </is>
      </c>
      <c r="L37" s="53" t="inlineStr">
        <is>
          <t>新增</t>
        </is>
      </c>
      <c r="M37" s="55">
        <f>IF(L37="新增",1,IF(L37="复用",1/3,0))</f>
        <v/>
      </c>
    </row>
    <row r="38" ht="54" customHeight="1">
      <c r="A38" s="56" t="n"/>
      <c r="B38" s="56" t="n"/>
      <c r="C38" s="56" t="n"/>
      <c r="D38" s="53" t="inlineStr">
        <is>
          <t>稽核管理</t>
        </is>
      </c>
      <c r="E38" s="53" t="inlineStr">
        <is>
          <t>发起者：分销员
接收者：后台系统</t>
        </is>
      </c>
      <c r="F38" s="53" t="inlineStr">
        <is>
          <t>用户触发</t>
        </is>
      </c>
      <c r="G38" s="53" t="inlineStr">
        <is>
          <t>稽核列表数据查询</t>
        </is>
      </c>
      <c r="H38" s="54" t="inlineStr">
        <is>
          <t>提交查询条件</t>
        </is>
      </c>
      <c r="I38" s="53" t="inlineStr">
        <is>
          <t>E</t>
        </is>
      </c>
      <c r="J38" s="54" t="inlineStr">
        <is>
          <t>稽核查询请求</t>
        </is>
      </c>
      <c r="K38" s="54" t="inlineStr">
        <is>
          <t>分销员ID、稽核状态、查询时间</t>
        </is>
      </c>
      <c r="L38" s="53" t="inlineStr">
        <is>
          <t>新增</t>
        </is>
      </c>
      <c r="M38" s="55">
        <f>IF(L38="新增",1,IF(L38="复用",1/3,0))</f>
        <v/>
      </c>
    </row>
    <row r="39" ht="54" customHeight="1">
      <c r="A39" s="56" t="n"/>
      <c r="B39" s="56" t="n"/>
      <c r="C39" s="56" t="n"/>
      <c r="D39" s="56" t="n"/>
      <c r="E39" s="56" t="n"/>
      <c r="F39" s="56" t="n"/>
      <c r="G39" s="56" t="n"/>
      <c r="H39" s="54" t="inlineStr">
        <is>
          <t>读取稽核数据</t>
        </is>
      </c>
      <c r="I39" s="53" t="inlineStr">
        <is>
          <t>R</t>
        </is>
      </c>
      <c r="J39" s="54" t="inlineStr">
        <is>
          <t>稽核信息表</t>
        </is>
      </c>
      <c r="K39" s="54" t="inlineStr">
        <is>
          <t>稽核编号、客户名称、稽核状态、上报时间、稽核人</t>
        </is>
      </c>
      <c r="L39" s="53" t="inlineStr">
        <is>
          <t>新增</t>
        </is>
      </c>
      <c r="M39" s="55">
        <f>IF(L39="新增",1,IF(L39="复用",1/3,0))</f>
        <v/>
      </c>
    </row>
    <row r="40" ht="54" customHeight="1">
      <c r="A40" s="56" t="n"/>
      <c r="B40" s="56" t="n"/>
      <c r="C40" s="56" t="n"/>
      <c r="D40" s="56" t="n"/>
      <c r="E40" s="57" t="n"/>
      <c r="F40" s="57" t="n"/>
      <c r="G40" s="57" t="n"/>
      <c r="H40" s="54" t="inlineStr">
        <is>
          <t>返回稽核列表</t>
        </is>
      </c>
      <c r="I40" s="53" t="inlineStr">
        <is>
          <t>X</t>
        </is>
      </c>
      <c r="J40" s="54" t="inlineStr">
        <is>
          <t>稽核列表响应</t>
        </is>
      </c>
      <c r="K40" s="54" t="inlineStr">
        <is>
          <t>稽核记录、分页信息、状态标识</t>
        </is>
      </c>
      <c r="L40" s="53" t="inlineStr">
        <is>
          <t>新增</t>
        </is>
      </c>
      <c r="M40" s="55">
        <f>IF(L40="新增",1,IF(L40="复用",1/3,0))</f>
        <v/>
      </c>
    </row>
    <row r="41" ht="54" customHeight="1">
      <c r="A41" s="56" t="n"/>
      <c r="B41" s="56" t="n"/>
      <c r="C41" s="56" t="n"/>
      <c r="D41" s="56" t="n"/>
      <c r="E41" s="53" t="inlineStr">
        <is>
          <t>发起者：分销员
接收者：后台系统</t>
        </is>
      </c>
      <c r="F41" s="53" t="inlineStr">
        <is>
          <t>用户触发</t>
        </is>
      </c>
      <c r="G41" s="53" t="inlineStr">
        <is>
          <t>分销员进行稽核</t>
        </is>
      </c>
      <c r="H41" s="54" t="inlineStr">
        <is>
          <t>提交稽核结果</t>
        </is>
      </c>
      <c r="I41" s="53" t="inlineStr">
        <is>
          <t>E</t>
        </is>
      </c>
      <c r="J41" s="54" t="inlineStr">
        <is>
          <t>稽核输入信息</t>
        </is>
      </c>
      <c r="K41" s="54" t="inlineStr">
        <is>
          <t>稽核编号、稽核决定、稽核备注、稽核人ID</t>
        </is>
      </c>
      <c r="L41" s="53" t="inlineStr">
        <is>
          <t>新增</t>
        </is>
      </c>
      <c r="M41" s="55">
        <f>IF(L41="新增",1,IF(L41="复用",1/3,0))</f>
        <v/>
      </c>
    </row>
    <row r="42" ht="54" customHeight="1">
      <c r="A42" s="56" t="n"/>
      <c r="B42" s="56" t="n"/>
      <c r="C42" s="56" t="n"/>
      <c r="D42" s="57" t="n"/>
      <c r="E42" s="57" t="n"/>
      <c r="F42" s="57" t="n"/>
      <c r="G42" s="57" t="n"/>
      <c r="H42" s="54" t="inlineStr">
        <is>
          <t>更新稽核数据</t>
        </is>
      </c>
      <c r="I42" s="53" t="inlineStr">
        <is>
          <t>W</t>
        </is>
      </c>
      <c r="J42" s="54" t="inlineStr">
        <is>
          <t>稽核数据表</t>
        </is>
      </c>
      <c r="K42" s="54" t="inlineStr">
        <is>
          <t>稽核编号、稽核状态、稽核人、稽核时间、稽核结果</t>
        </is>
      </c>
      <c r="L42" s="53" t="inlineStr">
        <is>
          <t>新增</t>
        </is>
      </c>
      <c r="M42" s="55">
        <f>IF(L42="新增",1,IF(L42="复用",1/3,0))</f>
        <v/>
      </c>
    </row>
    <row r="43" ht="54" customHeight="1">
      <c r="A43" s="56" t="n"/>
      <c r="B43" s="56" t="n"/>
      <c r="C43" s="56" t="n"/>
      <c r="D43" s="53" t="inlineStr">
        <is>
          <t>销售概况</t>
        </is>
      </c>
      <c r="E43" s="53" t="inlineStr">
        <is>
          <t>发起者：操作员
接收者：后台系统</t>
        </is>
      </c>
      <c r="F43" s="53" t="inlineStr">
        <is>
          <t>用户触发</t>
        </is>
      </c>
      <c r="G43" s="53" t="inlineStr">
        <is>
          <t>查询分销员销售概况</t>
        </is>
      </c>
      <c r="H43" s="54" t="inlineStr">
        <is>
          <t>提交查询请求（含时间筛选）</t>
        </is>
      </c>
      <c r="I43" s="53" t="inlineStr">
        <is>
          <t>E</t>
        </is>
      </c>
      <c r="J43" s="54" t="inlineStr">
        <is>
          <t>销售概况查询请求</t>
        </is>
      </c>
      <c r="K43" s="54" t="inlineStr">
        <is>
          <t>分销员ID、开始时间、结束时间</t>
        </is>
      </c>
      <c r="L43" s="53" t="inlineStr">
        <is>
          <t>新增</t>
        </is>
      </c>
      <c r="M43" s="55">
        <f>IF(L43="新增",1,IF(L43="复用",1/3,0))</f>
        <v/>
      </c>
    </row>
    <row r="44" ht="54" customHeight="1">
      <c r="A44" s="56" t="n"/>
      <c r="B44" s="56" t="n"/>
      <c r="C44" s="56" t="n"/>
      <c r="D44" s="56" t="n"/>
      <c r="E44" s="56" t="n"/>
      <c r="F44" s="56" t="n"/>
      <c r="G44" s="56" t="n"/>
      <c r="H44" s="54" t="inlineStr">
        <is>
          <t>读取分销员销售概况数据</t>
        </is>
      </c>
      <c r="I44" s="53" t="inlineStr">
        <is>
          <t>R</t>
        </is>
      </c>
      <c r="J44" s="54" t="inlineStr">
        <is>
          <t>销售概况数据</t>
        </is>
      </c>
      <c r="K44" s="54" t="inlineStr">
        <is>
          <t>分销员名称、订单数量、销售额、佣金金额</t>
        </is>
      </c>
      <c r="L44" s="53" t="inlineStr">
        <is>
          <t>新增</t>
        </is>
      </c>
      <c r="M44" s="55">
        <f>IF(L44="新增",1,IF(L44="复用",1/3,0))</f>
        <v/>
      </c>
    </row>
    <row r="45" ht="54" customHeight="1">
      <c r="A45" s="56" t="n"/>
      <c r="B45" s="56" t="n"/>
      <c r="C45" s="56" t="n"/>
      <c r="D45" s="57" t="n"/>
      <c r="E45" s="57" t="n"/>
      <c r="F45" s="57" t="n"/>
      <c r="G45" s="57" t="n"/>
      <c r="H45" s="54" t="inlineStr">
        <is>
          <t>返回展示销售概况</t>
        </is>
      </c>
      <c r="I45" s="53" t="inlineStr">
        <is>
          <t>X</t>
        </is>
      </c>
      <c r="J45" s="54" t="inlineStr">
        <is>
          <t>销售概况响应</t>
        </is>
      </c>
      <c r="K45" s="54" t="inlineStr">
        <is>
          <t>分销员ID、总订单数、总销售额、总佣金、时间范围</t>
        </is>
      </c>
      <c r="L45" s="53" t="inlineStr">
        <is>
          <t>新增</t>
        </is>
      </c>
      <c r="M45" s="55">
        <f>IF(L45="新增",1,IF(L45="复用",1/3,0))</f>
        <v/>
      </c>
    </row>
    <row r="46" ht="54" customHeight="1">
      <c r="A46" s="56" t="n"/>
      <c r="B46" s="56" t="n"/>
      <c r="C46" s="56" t="n"/>
      <c r="D46" s="53" t="inlineStr">
        <is>
          <t>卡劵订单</t>
        </is>
      </c>
      <c r="E46" s="53" t="inlineStr">
        <is>
          <t>发起者：操作员
接收者：地市后台</t>
        </is>
      </c>
      <c r="F46" s="53" t="inlineStr">
        <is>
          <t>用户触发</t>
        </is>
      </c>
      <c r="G46" s="53" t="inlineStr">
        <is>
          <t>查询分销员销售的卡券订单</t>
        </is>
      </c>
      <c r="H46" s="54" t="inlineStr">
        <is>
          <t>点击进入页面或提交查询条件</t>
        </is>
      </c>
      <c r="I46" s="53" t="inlineStr">
        <is>
          <t>E</t>
        </is>
      </c>
      <c r="J46" s="54" t="inlineStr">
        <is>
          <t>卡券订单查询请求</t>
        </is>
      </c>
      <c r="K46" s="54" t="inlineStr">
        <is>
          <t>分销员ID、查询时间范围、订单状态</t>
        </is>
      </c>
      <c r="L46" s="53" t="inlineStr">
        <is>
          <t>新增</t>
        </is>
      </c>
      <c r="M46" s="55">
        <f>IF(L46="新增",1,IF(L46="复用",1/3,0))</f>
        <v/>
      </c>
    </row>
    <row r="47" ht="54" customHeight="1">
      <c r="A47" s="56" t="n"/>
      <c r="B47" s="56" t="n"/>
      <c r="C47" s="56" t="n"/>
      <c r="D47" s="56" t="n"/>
      <c r="E47" s="56" t="n"/>
      <c r="F47" s="56" t="n"/>
      <c r="G47" s="56" t="n"/>
      <c r="H47" s="54" t="inlineStr">
        <is>
          <t>读取卡券订单数据</t>
        </is>
      </c>
      <c r="I47" s="53" t="inlineStr">
        <is>
          <t>R</t>
        </is>
      </c>
      <c r="J47" s="54" t="inlineStr">
        <is>
          <t>卡券订单表</t>
        </is>
      </c>
      <c r="K47" s="54" t="inlineStr">
        <is>
          <t>订单编号、分销员ID、客户手机号、卡券类型、订单金额、下单时间、订单状态</t>
        </is>
      </c>
      <c r="L47" s="53" t="inlineStr">
        <is>
          <t>新增</t>
        </is>
      </c>
      <c r="M47" s="55">
        <f>IF(L47="新增",1,IF(L47="复用",1/3,0))</f>
        <v/>
      </c>
    </row>
    <row r="48" ht="54" customHeight="1">
      <c r="A48" s="56" t="n"/>
      <c r="B48" s="56" t="n"/>
      <c r="C48" s="56" t="n"/>
      <c r="D48" s="57" t="n"/>
      <c r="E48" s="57" t="n"/>
      <c r="F48" s="57" t="n"/>
      <c r="G48" s="57" t="n"/>
      <c r="H48" s="54" t="inlineStr">
        <is>
          <t>展示卡券订单列表</t>
        </is>
      </c>
      <c r="I48" s="53" t="inlineStr">
        <is>
          <t>X</t>
        </is>
      </c>
      <c r="J48" s="54" t="inlineStr">
        <is>
          <t>卡券订单列表响应</t>
        </is>
      </c>
      <c r="K48" s="54" t="inlineStr">
        <is>
          <t>订单列表、分页信息、总计金额</t>
        </is>
      </c>
      <c r="L48" s="53" t="inlineStr">
        <is>
          <t>新增</t>
        </is>
      </c>
      <c r="M48" s="55">
        <f>IF(L48="新增",1,IF(L48="复用",1/3,0))</f>
        <v/>
      </c>
    </row>
    <row r="49" ht="54" customHeight="1">
      <c r="A49" s="56" t="n"/>
      <c r="B49" s="56" t="n"/>
      <c r="C49" s="56" t="n"/>
      <c r="D49" s="53" t="inlineStr">
        <is>
          <t>业务订单</t>
        </is>
      </c>
      <c r="E49" s="53" t="inlineStr">
        <is>
          <t>发起者：操作员
接收者：地市后台</t>
        </is>
      </c>
      <c r="F49" s="53" t="inlineStr">
        <is>
          <t>用户触发</t>
        </is>
      </c>
      <c r="G49" s="53" t="inlineStr">
        <is>
          <t>导出业务订单</t>
        </is>
      </c>
      <c r="H49" s="54" t="inlineStr">
        <is>
          <t>点击导出按钮提交导出请求</t>
        </is>
      </c>
      <c r="I49" s="53" t="inlineStr">
        <is>
          <t>E</t>
        </is>
      </c>
      <c r="J49" s="54" t="inlineStr">
        <is>
          <t>导出请求指令</t>
        </is>
      </c>
      <c r="K49" s="54" t="inlineStr">
        <is>
          <t>订单查询条件、导出文件格式、用户标识</t>
        </is>
      </c>
      <c r="L49" s="53" t="inlineStr">
        <is>
          <t>新增</t>
        </is>
      </c>
      <c r="M49" s="55">
        <f>IF(L49="新增",1,IF(L49="复用",1/3,0))</f>
        <v/>
      </c>
    </row>
    <row r="50" ht="54" customHeight="1">
      <c r="A50" s="56" t="n"/>
      <c r="B50" s="56" t="n"/>
      <c r="C50" s="56" t="n"/>
      <c r="D50" s="56" t="n"/>
      <c r="E50" s="56" t="n"/>
      <c r="F50" s="56" t="n"/>
      <c r="G50" s="56" t="n"/>
      <c r="H50" s="54" t="inlineStr">
        <is>
          <t>读取业务订单数据</t>
        </is>
      </c>
      <c r="I50" s="53" t="inlineStr">
        <is>
          <t>R</t>
        </is>
      </c>
      <c r="J50" s="54" t="inlineStr">
        <is>
          <t>业务订单数据表</t>
        </is>
      </c>
      <c r="K50" s="54" t="inlineStr">
        <is>
          <t>订单编号、业务名称、客户号码、分销员名称、订单状态、下单时间</t>
        </is>
      </c>
      <c r="L50" s="53" t="inlineStr">
        <is>
          <t>新增</t>
        </is>
      </c>
      <c r="M50" s="55">
        <f>IF(L50="新增",1,IF(L50="复用",1/3,0))</f>
        <v/>
      </c>
    </row>
    <row r="51" ht="54" customHeight="1">
      <c r="A51" s="56" t="n"/>
      <c r="B51" s="56" t="n"/>
      <c r="C51" s="56" t="n"/>
      <c r="D51" s="56" t="n"/>
      <c r="E51" s="57" t="n"/>
      <c r="F51" s="57" t="n"/>
      <c r="G51" s="57" t="n"/>
      <c r="H51" s="54" t="inlineStr">
        <is>
          <t>生成并返回导出文件</t>
        </is>
      </c>
      <c r="I51" s="53" t="inlineStr">
        <is>
          <t>X</t>
        </is>
      </c>
      <c r="J51" s="54" t="inlineStr">
        <is>
          <t>导出文件响应</t>
        </is>
      </c>
      <c r="K51" s="54" t="inlineStr">
        <is>
          <t>文件流、文件名、下载链接</t>
        </is>
      </c>
      <c r="L51" s="53" t="inlineStr">
        <is>
          <t>新增</t>
        </is>
      </c>
      <c r="M51" s="55">
        <f>IF(L51="新增",1,IF(L51="复用",1/3,0))</f>
        <v/>
      </c>
    </row>
    <row r="52" ht="54" customHeight="1">
      <c r="A52" s="56" t="n"/>
      <c r="B52" s="56" t="n"/>
      <c r="C52" s="56" t="n"/>
      <c r="D52" s="56" t="n"/>
      <c r="E52" s="53" t="inlineStr">
        <is>
          <t>发起者：操作员
接收者：地市后台</t>
        </is>
      </c>
      <c r="F52" s="53" t="inlineStr">
        <is>
          <t>用户触发</t>
        </is>
      </c>
      <c r="G52" s="53" t="inlineStr">
        <is>
          <t>搜索业务订单</t>
        </is>
      </c>
      <c r="H52" s="54" t="inlineStr">
        <is>
          <t>提交搜索条件</t>
        </is>
      </c>
      <c r="I52" s="53" t="inlineStr">
        <is>
          <t>E</t>
        </is>
      </c>
      <c r="J52" s="54" t="inlineStr">
        <is>
          <t>搜索条件请求</t>
        </is>
      </c>
      <c r="K52" s="54" t="inlineStr">
        <is>
          <t>订单编号、业务名称、分销员名称、订单状态、时间范围</t>
        </is>
      </c>
      <c r="L52" s="53" t="inlineStr">
        <is>
          <t>新增</t>
        </is>
      </c>
      <c r="M52" s="55">
        <f>IF(L52="新增",1,IF(L52="复用",1/3,0))</f>
        <v/>
      </c>
    </row>
    <row r="53" ht="54" customHeight="1">
      <c r="A53" s="56" t="n"/>
      <c r="B53" s="56" t="n"/>
      <c r="C53" s="56" t="n"/>
      <c r="D53" s="56" t="n"/>
      <c r="E53" s="56" t="n"/>
      <c r="F53" s="56" t="n"/>
      <c r="G53" s="56" t="n"/>
      <c r="H53" s="54" t="inlineStr">
        <is>
          <t>读取符合条件的业务订单数据</t>
        </is>
      </c>
      <c r="I53" s="53" t="inlineStr">
        <is>
          <t>R</t>
        </is>
      </c>
      <c r="J53" s="54" t="inlineStr">
        <is>
          <t>业务订单数据表</t>
        </is>
      </c>
      <c r="K53" s="54" t="inlineStr">
        <is>
          <t>订单编号、业务名称、客户号码、分销员名称、订单状态、下单时间</t>
        </is>
      </c>
      <c r="L53" s="53" t="inlineStr">
        <is>
          <t>新增</t>
        </is>
      </c>
      <c r="M53" s="55">
        <f>IF(L53="新增",1,IF(L53="复用",1/3,0))</f>
        <v/>
      </c>
    </row>
    <row r="54" ht="54" customHeight="1">
      <c r="A54" s="56" t="n"/>
      <c r="B54" s="56" t="n"/>
      <c r="C54" s="56" t="n"/>
      <c r="D54" s="56" t="n"/>
      <c r="E54" s="57" t="n"/>
      <c r="F54" s="57" t="n"/>
      <c r="G54" s="57" t="n"/>
      <c r="H54" s="54" t="inlineStr">
        <is>
          <t>返回搜索结果列表</t>
        </is>
      </c>
      <c r="I54" s="53" t="inlineStr">
        <is>
          <t>X</t>
        </is>
      </c>
      <c r="J54" s="54" t="inlineStr">
        <is>
          <t>搜索列表响应</t>
        </is>
      </c>
      <c r="K54" s="54" t="inlineStr">
        <is>
          <t>订单列表、分页信息、总数</t>
        </is>
      </c>
      <c r="L54" s="53" t="inlineStr">
        <is>
          <t>新增</t>
        </is>
      </c>
      <c r="M54" s="55">
        <f>IF(L54="新增",1,IF(L54="复用",1/3,0))</f>
        <v/>
      </c>
    </row>
    <row r="55" ht="54" customHeight="1">
      <c r="A55" s="56" t="n"/>
      <c r="B55" s="56" t="n"/>
      <c r="C55" s="56" t="n"/>
      <c r="D55" s="56" t="n"/>
      <c r="E55" s="53" t="inlineStr">
        <is>
          <t>发起者：操作员
接收者：地市后台</t>
        </is>
      </c>
      <c r="F55" s="53" t="inlineStr">
        <is>
          <t>用户触发</t>
        </is>
      </c>
      <c r="G55" s="53" t="inlineStr">
        <is>
          <t>查询分销员销售的业务订单</t>
        </is>
      </c>
      <c r="H55" s="54" t="inlineStr">
        <is>
          <t>进入业务订单页面或提交查询请求</t>
        </is>
      </c>
      <c r="I55" s="53" t="inlineStr">
        <is>
          <t>E</t>
        </is>
      </c>
      <c r="J55" s="54" t="inlineStr">
        <is>
          <t>查询请求指令</t>
        </is>
      </c>
      <c r="K55" s="54" t="inlineStr">
        <is>
          <t>分销员标识、分页参数、筛选条件</t>
        </is>
      </c>
      <c r="L55" s="53" t="inlineStr">
        <is>
          <t>新增</t>
        </is>
      </c>
      <c r="M55" s="55">
        <f>IF(L55="新增",1,IF(L55="复用",1/3,0))</f>
        <v/>
      </c>
    </row>
    <row r="56" ht="54" customHeight="1">
      <c r="A56" s="56" t="n"/>
      <c r="B56" s="56" t="n"/>
      <c r="C56" s="56" t="n"/>
      <c r="D56" s="56" t="n"/>
      <c r="E56" s="56" t="n"/>
      <c r="F56" s="56" t="n"/>
      <c r="G56" s="56" t="n"/>
      <c r="H56" s="54" t="inlineStr">
        <is>
          <t>读取分销员销售的业务订单数据</t>
        </is>
      </c>
      <c r="I56" s="53" t="inlineStr">
        <is>
          <t>R</t>
        </is>
      </c>
      <c r="J56" s="54" t="inlineStr">
        <is>
          <t>业务订单数据表</t>
        </is>
      </c>
      <c r="K56" s="54" t="inlineStr">
        <is>
          <t>订单编号、业务名称、客户号码、分销员名称、订单金额、订单状态、下单时间</t>
        </is>
      </c>
      <c r="L56" s="53" t="inlineStr">
        <is>
          <t>新增</t>
        </is>
      </c>
      <c r="M56" s="55">
        <f>IF(L56="新增",1,IF(L56="复用",1/3,0))</f>
        <v/>
      </c>
    </row>
    <row r="57" ht="54" customHeight="1">
      <c r="A57" s="56" t="n"/>
      <c r="B57" s="56" t="n"/>
      <c r="C57" s="57" t="n"/>
      <c r="D57" s="57" t="n"/>
      <c r="E57" s="57" t="n"/>
      <c r="F57" s="57" t="n"/>
      <c r="G57" s="57" t="n"/>
      <c r="H57" s="54" t="inlineStr">
        <is>
          <t>展示业务订单列表</t>
        </is>
      </c>
      <c r="I57" s="53" t="inlineStr">
        <is>
          <t>X</t>
        </is>
      </c>
      <c r="J57" s="54" t="inlineStr">
        <is>
          <t>业务订单列表响应</t>
        </is>
      </c>
      <c r="K57" s="54" t="inlineStr">
        <is>
          <t>订单列表、分页信息、汇总数据</t>
        </is>
      </c>
      <c r="L57" s="53" t="inlineStr">
        <is>
          <t>新增</t>
        </is>
      </c>
      <c r="M57" s="55">
        <f>IF(L57="新增",1,IF(L57="复用",1/3,0))</f>
        <v/>
      </c>
    </row>
    <row r="58" ht="54" customHeight="1">
      <c r="A58" s="56" t="n"/>
      <c r="B58" s="56" t="n"/>
      <c r="C58" s="53" t="inlineStr">
        <is>
          <t>装修管理</t>
        </is>
      </c>
      <c r="D58" s="53" t="inlineStr">
        <is>
          <t>首页装修</t>
        </is>
      </c>
      <c r="E58" s="53" t="inlineStr">
        <is>
          <t>发起者：操作员
接收者：地市后台</t>
        </is>
      </c>
      <c r="F58" s="53" t="inlineStr">
        <is>
          <t>用户触发</t>
        </is>
      </c>
      <c r="G58" s="53" t="inlineStr">
        <is>
          <t>一键复制行业装修首页</t>
        </is>
      </c>
      <c r="H58" s="54" t="inlineStr">
        <is>
          <t>提交一键复制请求</t>
        </is>
      </c>
      <c r="I58" s="53" t="inlineStr">
        <is>
          <t>E</t>
        </is>
      </c>
      <c r="J58" s="54" t="inlineStr">
        <is>
          <t>复制请求</t>
        </is>
      </c>
      <c r="K58" s="54" t="inlineStr">
        <is>
          <t>源首页ID、目标行业ID、复制名称</t>
        </is>
      </c>
      <c r="L58" s="53" t="inlineStr">
        <is>
          <t>新增</t>
        </is>
      </c>
      <c r="M58" s="55">
        <f>IF(L58="新增",1,IF(L58="复用",1/3,0))</f>
        <v/>
      </c>
    </row>
    <row r="59" ht="54" customHeight="1">
      <c r="A59" s="56" t="n"/>
      <c r="B59" s="56" t="n"/>
      <c r="C59" s="56" t="n"/>
      <c r="D59" s="56" t="n"/>
      <c r="E59" s="56" t="n"/>
      <c r="F59" s="56" t="n"/>
      <c r="G59" s="56" t="n"/>
      <c r="H59" s="54" t="inlineStr">
        <is>
          <t>读取源首页配置数据</t>
        </is>
      </c>
      <c r="I59" s="53" t="inlineStr">
        <is>
          <t>R</t>
        </is>
      </c>
      <c r="J59" s="54" t="inlineStr">
        <is>
          <t>源首页配置</t>
        </is>
      </c>
      <c r="K59" s="54" t="inlineStr">
        <is>
          <t>组件列表、页面样式、布局参数</t>
        </is>
      </c>
      <c r="L59" s="53" t="inlineStr">
        <is>
          <t>新增</t>
        </is>
      </c>
      <c r="M59" s="55">
        <f>IF(L59="新增",1,IF(L59="复用",1/3,0))</f>
        <v/>
      </c>
    </row>
    <row r="60" ht="54" customHeight="1">
      <c r="A60" s="56" t="n"/>
      <c r="B60" s="56" t="n"/>
      <c r="C60" s="56" t="n"/>
      <c r="D60" s="56" t="n"/>
      <c r="E60" s="57" t="n"/>
      <c r="F60" s="57" t="n"/>
      <c r="G60" s="57" t="n"/>
      <c r="H60" s="54" t="inlineStr">
        <is>
          <t>创建新首页并存储配置</t>
        </is>
      </c>
      <c r="I60" s="53" t="inlineStr">
        <is>
          <t>W</t>
        </is>
      </c>
      <c r="J60" s="54" t="inlineStr">
        <is>
          <t>新首页配置</t>
        </is>
      </c>
      <c r="K60" s="54" t="inlineStr">
        <is>
          <t>新首页ID、目标行业ID、组件列表、页面样式、创建时间</t>
        </is>
      </c>
      <c r="L60" s="53" t="inlineStr">
        <is>
          <t>新增</t>
        </is>
      </c>
      <c r="M60" s="55">
        <f>IF(L60="新增",1,IF(L60="复用",1/3,0))</f>
        <v/>
      </c>
    </row>
    <row r="61" ht="54" customHeight="1">
      <c r="A61" s="56" t="n"/>
      <c r="B61" s="56" t="n"/>
      <c r="C61" s="56" t="n"/>
      <c r="D61" s="56" t="n"/>
      <c r="E61" s="53" t="inlineStr">
        <is>
          <t>发起者：操作员
接收者：地市后台</t>
        </is>
      </c>
      <c r="F61" s="53" t="inlineStr">
        <is>
          <t>用户触发</t>
        </is>
      </c>
      <c r="G61" s="53" t="inlineStr">
        <is>
          <t>删除行业装修首页</t>
        </is>
      </c>
      <c r="H61" s="54" t="inlineStr">
        <is>
          <t>提交删除指令</t>
        </is>
      </c>
      <c r="I61" s="53" t="inlineStr">
        <is>
          <t>E</t>
        </is>
      </c>
      <c r="J61" s="54" t="inlineStr">
        <is>
          <t>删除请求</t>
        </is>
      </c>
      <c r="K61" s="54" t="inlineStr">
        <is>
          <t>首页ID、行业ID、用户ID</t>
        </is>
      </c>
      <c r="L61" s="53" t="inlineStr">
        <is>
          <t>新增</t>
        </is>
      </c>
      <c r="M61" s="55">
        <f>IF(L61="新增",1,IF(L61="复用",1/3,0))</f>
        <v/>
      </c>
    </row>
    <row r="62" ht="54" customHeight="1">
      <c r="A62" s="56" t="n"/>
      <c r="B62" s="56" t="n"/>
      <c r="C62" s="56" t="n"/>
      <c r="D62" s="56" t="n"/>
      <c r="E62" s="57" t="n"/>
      <c r="F62" s="57" t="n"/>
      <c r="G62" s="57" t="n"/>
      <c r="H62" s="54" t="inlineStr">
        <is>
          <t>删除该首页配置数据</t>
        </is>
      </c>
      <c r="I62" s="53" t="inlineStr">
        <is>
          <t>W</t>
        </is>
      </c>
      <c r="J62" s="54" t="inlineStr">
        <is>
          <t>首页配置表</t>
        </is>
      </c>
      <c r="K62" s="54" t="inlineStr">
        <is>
          <t>首页ID、组件列表、状态</t>
        </is>
      </c>
      <c r="L62" s="53" t="inlineStr">
        <is>
          <t>新增</t>
        </is>
      </c>
      <c r="M62" s="55">
        <f>IF(L62="新增",1,IF(L62="复用",1/3,0))</f>
        <v/>
      </c>
    </row>
    <row r="63" ht="54" customHeight="1">
      <c r="A63" s="56" t="n"/>
      <c r="B63" s="56" t="n"/>
      <c r="C63" s="56" t="n"/>
      <c r="D63" s="56" t="n"/>
      <c r="E63" s="53" t="inlineStr">
        <is>
          <t>发起者：操作员
接收者：地市后台</t>
        </is>
      </c>
      <c r="F63" s="53" t="inlineStr">
        <is>
          <t>用户触发</t>
        </is>
      </c>
      <c r="G63" s="53" t="inlineStr">
        <is>
          <t>添加行业首页装修</t>
        </is>
      </c>
      <c r="H63" s="54" t="inlineStr">
        <is>
          <t>提交添加首页数据</t>
        </is>
      </c>
      <c r="I63" s="53" t="inlineStr">
        <is>
          <t>E</t>
        </is>
      </c>
      <c r="J63" s="54" t="inlineStr">
        <is>
          <t>新增首页请求</t>
        </is>
      </c>
      <c r="K63" s="54" t="inlineStr">
        <is>
          <t>行业ID、页面名称、组件列表、页面样式</t>
        </is>
      </c>
      <c r="L63" s="53" t="inlineStr">
        <is>
          <t>新增</t>
        </is>
      </c>
      <c r="M63" s="55">
        <f>IF(L63="新增",1,IF(L63="复用",1/3,0))</f>
        <v/>
      </c>
    </row>
    <row r="64" ht="54" customHeight="1">
      <c r="A64" s="56" t="n"/>
      <c r="B64" s="56" t="n"/>
      <c r="C64" s="56" t="n"/>
      <c r="D64" s="56" t="n"/>
      <c r="E64" s="57" t="n"/>
      <c r="F64" s="57" t="n"/>
      <c r="G64" s="57" t="n"/>
      <c r="H64" s="54" t="inlineStr">
        <is>
          <t>存储新首页配置</t>
        </is>
      </c>
      <c r="I64" s="53" t="inlineStr">
        <is>
          <t>W</t>
        </is>
      </c>
      <c r="J64" s="54" t="inlineStr">
        <is>
          <t>首页配置表</t>
        </is>
      </c>
      <c r="K64" s="54" t="inlineStr">
        <is>
          <t>首页ID、行业ID、页面名称、组件列表、创建时间</t>
        </is>
      </c>
      <c r="L64" s="53" t="inlineStr">
        <is>
          <t>新增</t>
        </is>
      </c>
      <c r="M64" s="55">
        <f>IF(L64="新增",1,IF(L64="复用",1/3,0))</f>
        <v/>
      </c>
    </row>
    <row r="65" ht="54" customHeight="1">
      <c r="A65" s="56" t="n"/>
      <c r="B65" s="56" t="n"/>
      <c r="C65" s="56" t="n"/>
      <c r="D65" s="56" t="n"/>
      <c r="E65" s="53" t="inlineStr">
        <is>
          <t>发起者：操作员
接收者：地市后台</t>
        </is>
      </c>
      <c r="F65" s="53" t="inlineStr">
        <is>
          <t>用户触发</t>
        </is>
      </c>
      <c r="G65" s="53" t="inlineStr">
        <is>
          <t>编辑行业首页装修</t>
        </is>
      </c>
      <c r="H65" s="54" t="inlineStr">
        <is>
          <t>提交编辑首页数据</t>
        </is>
      </c>
      <c r="I65" s="53" t="inlineStr">
        <is>
          <t>E</t>
        </is>
      </c>
      <c r="J65" s="54" t="inlineStr">
        <is>
          <t>编辑首页请求</t>
        </is>
      </c>
      <c r="K65" s="54" t="inlineStr">
        <is>
          <t>首页ID、页面名称、组件列表、页面样式</t>
        </is>
      </c>
      <c r="L65" s="53" t="inlineStr">
        <is>
          <t>新增</t>
        </is>
      </c>
      <c r="M65" s="55">
        <f>IF(L65="新增",1,IF(L65="复用",1/3,0))</f>
        <v/>
      </c>
    </row>
    <row r="66" ht="54" customHeight="1">
      <c r="A66" s="56" t="n"/>
      <c r="B66" s="56" t="n"/>
      <c r="C66" s="56" t="n"/>
      <c r="D66" s="56" t="n"/>
      <c r="E66" s="57" t="n"/>
      <c r="F66" s="57" t="n"/>
      <c r="G66" s="57" t="n"/>
      <c r="H66" s="54" t="inlineStr">
        <is>
          <t>更新首页配置</t>
        </is>
      </c>
      <c r="I66" s="53" t="inlineStr">
        <is>
          <t>W</t>
        </is>
      </c>
      <c r="J66" s="54" t="inlineStr">
        <is>
          <t>首页配置表</t>
        </is>
      </c>
      <c r="K66" s="54" t="inlineStr">
        <is>
          <t>首页ID、页面名称、组件列表、更新时间</t>
        </is>
      </c>
      <c r="L66" s="53" t="inlineStr">
        <is>
          <t>新增</t>
        </is>
      </c>
      <c r="M66" s="55">
        <f>IF(L66="新增",1,IF(L66="复用",1/3,0))</f>
        <v/>
      </c>
    </row>
    <row r="67" ht="54" customHeight="1">
      <c r="A67" s="56" t="n"/>
      <c r="B67" s="56" t="n"/>
      <c r="C67" s="56" t="n"/>
      <c r="D67" s="56" t="n"/>
      <c r="E67" s="53" t="inlineStr">
        <is>
          <t>发起者：操作员
接收者：地市后台</t>
        </is>
      </c>
      <c r="F67" s="53" t="inlineStr">
        <is>
          <t>用户触发</t>
        </is>
      </c>
      <c r="G67" s="53" t="inlineStr">
        <is>
          <t>获取行业首页装修活动地址</t>
        </is>
      </c>
      <c r="H67" s="54" t="inlineStr">
        <is>
          <t>提交获取活动地址请求</t>
        </is>
      </c>
      <c r="I67" s="53" t="inlineStr">
        <is>
          <t>E</t>
        </is>
      </c>
      <c r="J67" s="54" t="inlineStr">
        <is>
          <t>地址请求</t>
        </is>
      </c>
      <c r="K67" s="54" t="inlineStr">
        <is>
          <t>首页ID、行业ID、用户ID</t>
        </is>
      </c>
      <c r="L67" s="53" t="inlineStr">
        <is>
          <t>新增</t>
        </is>
      </c>
      <c r="M67" s="55">
        <f>IF(L67="新增",1,IF(L67="复用",1/3,0))</f>
        <v/>
      </c>
    </row>
    <row r="68" ht="54" customHeight="1">
      <c r="A68" s="56" t="n"/>
      <c r="B68" s="56" t="n"/>
      <c r="C68" s="56" t="n"/>
      <c r="D68" s="56" t="n"/>
      <c r="E68" s="56" t="n"/>
      <c r="F68" s="56" t="n"/>
      <c r="G68" s="56" t="n"/>
      <c r="H68" s="54" t="inlineStr">
        <is>
          <t>读取首页配置并生成地址</t>
        </is>
      </c>
      <c r="I68" s="53" t="inlineStr">
        <is>
          <t>R</t>
        </is>
      </c>
      <c r="J68" s="54" t="inlineStr">
        <is>
          <t>首页地址数据</t>
        </is>
      </c>
      <c r="K68" s="54" t="inlineStr">
        <is>
          <t>首页ID、活动地址、有效期、访问统计</t>
        </is>
      </c>
      <c r="L68" s="53" t="inlineStr">
        <is>
          <t>新增</t>
        </is>
      </c>
      <c r="M68" s="55">
        <f>IF(L68="新增",1,IF(L68="复用",1/3,0))</f>
        <v/>
      </c>
    </row>
    <row r="69" ht="54" customHeight="1">
      <c r="A69" s="56" t="n"/>
      <c r="B69" s="56" t="n"/>
      <c r="C69" s="56" t="n"/>
      <c r="D69" s="56" t="n"/>
      <c r="E69" s="57" t="n"/>
      <c r="F69" s="57" t="n"/>
      <c r="G69" s="57" t="n"/>
      <c r="H69" s="54" t="inlineStr">
        <is>
          <t>返回活动地址</t>
        </is>
      </c>
      <c r="I69" s="53" t="inlineStr">
        <is>
          <t>X</t>
        </is>
      </c>
      <c r="J69" s="54" t="inlineStr">
        <is>
          <t>地址响应</t>
        </is>
      </c>
      <c r="K69" s="54" t="inlineStr">
        <is>
          <t>活动地址、短链接、二维码图片</t>
        </is>
      </c>
      <c r="L69" s="53" t="inlineStr">
        <is>
          <t>新增</t>
        </is>
      </c>
      <c r="M69" s="55">
        <f>IF(L69="新增",1,IF(L69="复用",1/3,0))</f>
        <v/>
      </c>
    </row>
    <row r="70" ht="54" customHeight="1">
      <c r="A70" s="56" t="n"/>
      <c r="B70" s="56" t="n"/>
      <c r="C70" s="56" t="n"/>
      <c r="D70" s="56" t="n"/>
      <c r="E70" s="53" t="inlineStr">
        <is>
          <t>发起者：操作员
接收者：地市后台</t>
        </is>
      </c>
      <c r="F70" s="53" t="inlineStr">
        <is>
          <t>用户触发</t>
        </is>
      </c>
      <c r="G70" s="53" t="inlineStr">
        <is>
          <t>首页装修列表数据查询</t>
        </is>
      </c>
      <c r="H70" s="54" t="inlineStr">
        <is>
          <t>提交列表查询请求</t>
        </is>
      </c>
      <c r="I70" s="53" t="inlineStr">
        <is>
          <t>E</t>
        </is>
      </c>
      <c r="J70" s="54" t="inlineStr">
        <is>
          <t>列表查询请求</t>
        </is>
      </c>
      <c r="K70" s="54" t="inlineStr">
        <is>
          <t>行业ID、分页参数、排序字段</t>
        </is>
      </c>
      <c r="L70" s="53" t="inlineStr">
        <is>
          <t>新增</t>
        </is>
      </c>
      <c r="M70" s="55">
        <f>IF(L70="新增",1,IF(L70="复用",1/3,0))</f>
        <v/>
      </c>
    </row>
    <row r="71" ht="54" customHeight="1">
      <c r="A71" s="56" t="n"/>
      <c r="B71" s="56" t="n"/>
      <c r="C71" s="56" t="n"/>
      <c r="D71" s="56" t="n"/>
      <c r="E71" s="56" t="n"/>
      <c r="F71" s="56" t="n"/>
      <c r="G71" s="56" t="n"/>
      <c r="H71" s="54" t="inlineStr">
        <is>
          <t>读取首页装修列表数据</t>
        </is>
      </c>
      <c r="I71" s="53" t="inlineStr">
        <is>
          <t>R</t>
        </is>
      </c>
      <c r="J71" s="54" t="inlineStr">
        <is>
          <t>首页装修列表</t>
        </is>
      </c>
      <c r="K71" s="54" t="inlineStr">
        <is>
          <t>首页ID、页面名称、行业名称、组件数量、创建时间、状态</t>
        </is>
      </c>
      <c r="L71" s="53" t="inlineStr">
        <is>
          <t>新增</t>
        </is>
      </c>
      <c r="M71" s="55">
        <f>IF(L71="新增",1,IF(L71="复用",1/3,0))</f>
        <v/>
      </c>
    </row>
    <row r="72" ht="54" customHeight="1">
      <c r="A72" s="56" t="n"/>
      <c r="B72" s="56" t="n"/>
      <c r="C72" s="56" t="n"/>
      <c r="D72" s="57" t="n"/>
      <c r="E72" s="57" t="n"/>
      <c r="F72" s="57" t="n"/>
      <c r="G72" s="57" t="n"/>
      <c r="H72" s="54" t="inlineStr">
        <is>
          <t>返回列表数据</t>
        </is>
      </c>
      <c r="I72" s="53" t="inlineStr">
        <is>
          <t>X</t>
        </is>
      </c>
      <c r="J72" s="54" t="inlineStr">
        <is>
          <t>列表响应</t>
        </is>
      </c>
      <c r="K72" s="54" t="inlineStr">
        <is>
          <t>首页列表、分页信息、排序</t>
        </is>
      </c>
      <c r="L72" s="53" t="inlineStr">
        <is>
          <t>新增</t>
        </is>
      </c>
      <c r="M72" s="55">
        <f>IF(L72="新增",1,IF(L72="复用",1/3,0))</f>
        <v/>
      </c>
    </row>
    <row r="73" ht="54" customHeight="1">
      <c r="A73" s="56" t="n"/>
      <c r="B73" s="56" t="n"/>
      <c r="C73" s="56" t="n"/>
      <c r="D73" s="53" t="inlineStr">
        <is>
          <t>自定义装修</t>
        </is>
      </c>
      <c r="E73" s="53" t="inlineStr">
        <is>
          <t>发起者：操作员
接收者：地市后台</t>
        </is>
      </c>
      <c r="F73" s="53" t="inlineStr">
        <is>
          <t>用户触发</t>
        </is>
      </c>
      <c r="G73" s="53" t="inlineStr">
        <is>
          <t>一键复制自定义页面</t>
        </is>
      </c>
      <c r="H73" s="54" t="inlineStr">
        <is>
          <t>点击一键复制按钮提交复制请求</t>
        </is>
      </c>
      <c r="I73" s="53" t="inlineStr">
        <is>
          <t>E</t>
        </is>
      </c>
      <c r="J73" s="54" t="inlineStr">
        <is>
          <t>复制请求数据</t>
        </is>
      </c>
      <c r="K73" s="54" t="inlineStr">
        <is>
          <t>源页面ID、目标页面名称、操作人ID</t>
        </is>
      </c>
      <c r="L73" s="53" t="inlineStr">
        <is>
          <t>新增</t>
        </is>
      </c>
      <c r="M73" s="55">
        <f>IF(L73="新增",1,IF(L73="复用",1/3,0))</f>
        <v/>
      </c>
    </row>
    <row r="74" ht="54" customHeight="1">
      <c r="A74" s="56" t="n"/>
      <c r="B74" s="56" t="n"/>
      <c r="C74" s="56" t="n"/>
      <c r="D74" s="56" t="n"/>
      <c r="E74" s="56" t="n"/>
      <c r="F74" s="56" t="n"/>
      <c r="G74" s="56" t="n"/>
      <c r="H74" s="54" t="inlineStr">
        <is>
          <t>读取源自定义页面的完整配置数据</t>
        </is>
      </c>
      <c r="I74" s="53" t="inlineStr">
        <is>
          <t>R</t>
        </is>
      </c>
      <c r="J74" s="54" t="inlineStr">
        <is>
          <t>自定义页面源数据</t>
        </is>
      </c>
      <c r="K74" s="54" t="inlineStr">
        <is>
          <t>页面ID、页面名称、组件列表、页面样式、页面背景、页面权限</t>
        </is>
      </c>
      <c r="L74" s="53" t="inlineStr">
        <is>
          <t>新增</t>
        </is>
      </c>
      <c r="M74" s="55">
        <f>IF(L74="新增",1,IF(L74="复用",1/3,0))</f>
        <v/>
      </c>
    </row>
    <row r="75" ht="54" customHeight="1">
      <c r="A75" s="56" t="n"/>
      <c r="B75" s="56" t="n"/>
      <c r="C75" s="56" t="n"/>
      <c r="D75" s="56" t="n"/>
      <c r="E75" s="57" t="n"/>
      <c r="F75" s="57" t="n"/>
      <c r="G75" s="57" t="n"/>
      <c r="H75" s="54" t="inlineStr">
        <is>
          <t>将复制的页面配置写入数据库生成新页面</t>
        </is>
      </c>
      <c r="I75" s="53" t="inlineStr">
        <is>
          <t>W</t>
        </is>
      </c>
      <c r="J75" s="54" t="inlineStr">
        <is>
          <t>自定义页面复制结果</t>
        </is>
      </c>
      <c r="K75" s="54" t="inlineStr">
        <is>
          <t>新页面ID、页面名称、组件列表、页面样式、创建时间、创建人</t>
        </is>
      </c>
      <c r="L75" s="53" t="inlineStr">
        <is>
          <t>新增</t>
        </is>
      </c>
      <c r="M75" s="55">
        <f>IF(L75="新增",1,IF(L75="复用",1/3,0))</f>
        <v/>
      </c>
    </row>
    <row r="76" ht="54" customHeight="1">
      <c r="A76" s="56" t="n"/>
      <c r="B76" s="56" t="n"/>
      <c r="C76" s="56" t="n"/>
      <c r="D76" s="56" t="n"/>
      <c r="E76" s="53" t="inlineStr">
        <is>
          <t>发起者：操作员
接收者：地市后台</t>
        </is>
      </c>
      <c r="F76" s="53" t="inlineStr">
        <is>
          <t>用户触发</t>
        </is>
      </c>
      <c r="G76" s="53" t="inlineStr">
        <is>
          <t>删除自定义页面</t>
        </is>
      </c>
      <c r="H76" s="54" t="inlineStr">
        <is>
          <t>点击删除按钮提交删除指令</t>
        </is>
      </c>
      <c r="I76" s="53" t="inlineStr">
        <is>
          <t>E</t>
        </is>
      </c>
      <c r="J76" s="54" t="inlineStr">
        <is>
          <t>删除请求数据</t>
        </is>
      </c>
      <c r="K76" s="54" t="inlineStr">
        <is>
          <t>页面ID、操作人ID、确认标识</t>
        </is>
      </c>
      <c r="L76" s="53" t="inlineStr">
        <is>
          <t>新增</t>
        </is>
      </c>
      <c r="M76" s="55">
        <f>IF(L76="新增",1,IF(L76="复用",1/3,0))</f>
        <v/>
      </c>
    </row>
    <row r="77" ht="54" customHeight="1">
      <c r="A77" s="56" t="n"/>
      <c r="B77" s="56" t="n"/>
      <c r="C77" s="56" t="n"/>
      <c r="D77" s="56" t="n"/>
      <c r="E77" s="57" t="n"/>
      <c r="F77" s="57" t="n"/>
      <c r="G77" s="57" t="n"/>
      <c r="H77" s="54" t="inlineStr">
        <is>
          <t>从数据库删除自定义页面及其关联组件数据</t>
        </is>
      </c>
      <c r="I77" s="53" t="inlineStr">
        <is>
          <t>W</t>
        </is>
      </c>
      <c r="J77" s="54" t="inlineStr">
        <is>
          <t>自定义页面删除结果</t>
        </is>
      </c>
      <c r="K77" s="54" t="inlineStr">
        <is>
          <t>页面ID、页面名称、组件列表、页面样式、删除时间</t>
        </is>
      </c>
      <c r="L77" s="53" t="inlineStr">
        <is>
          <t>新增</t>
        </is>
      </c>
      <c r="M77" s="55">
        <f>IF(L77="新增",1,IF(L77="复用",1/3,0))</f>
        <v/>
      </c>
    </row>
    <row r="78" ht="54" customHeight="1">
      <c r="A78" s="56" t="n"/>
      <c r="B78" s="56" t="n"/>
      <c r="C78" s="56" t="n"/>
      <c r="D78" s="56" t="n"/>
      <c r="E78" s="53" t="inlineStr">
        <is>
          <t>发起者：操作员
接收者：地市后台</t>
        </is>
      </c>
      <c r="F78" s="53" t="inlineStr">
        <is>
          <t>用户触发</t>
        </is>
      </c>
      <c r="G78" s="53" t="inlineStr">
        <is>
          <t>添加自定义页面</t>
        </is>
      </c>
      <c r="H78" s="54" t="inlineStr">
        <is>
          <t>提交自定义页面新增表单数据</t>
        </is>
      </c>
      <c r="I78" s="53" t="inlineStr">
        <is>
          <t>E</t>
        </is>
      </c>
      <c r="J78" s="54" t="inlineStr">
        <is>
          <t>新增页面请求数据</t>
        </is>
      </c>
      <c r="K78" s="54" t="inlineStr">
        <is>
          <t>页面名称、页面布局、组件ID列表、页面背景色、页面描述</t>
        </is>
      </c>
      <c r="L78" s="53" t="inlineStr">
        <is>
          <t>新增</t>
        </is>
      </c>
      <c r="M78" s="55">
        <f>IF(L78="新增",1,IF(L78="复用",1/3,0))</f>
        <v/>
      </c>
    </row>
    <row r="79" ht="54" customHeight="1">
      <c r="A79" s="56" t="n"/>
      <c r="B79" s="56" t="n"/>
      <c r="C79" s="56" t="n"/>
      <c r="D79" s="56" t="n"/>
      <c r="E79" s="57" t="n"/>
      <c r="F79" s="57" t="n"/>
      <c r="G79" s="57" t="n"/>
      <c r="H79" s="54" t="inlineStr">
        <is>
          <t>将新增页面配置持久化存储到数据库</t>
        </is>
      </c>
      <c r="I79" s="53" t="inlineStr">
        <is>
          <t>W</t>
        </is>
      </c>
      <c r="J79" s="54" t="inlineStr">
        <is>
          <t>自定义页面新增结果</t>
        </is>
      </c>
      <c r="K79" s="54" t="inlineStr">
        <is>
          <t>新页面ID、页面名称、组件列表、页面样式、创建时间、创建人</t>
        </is>
      </c>
      <c r="L79" s="53" t="inlineStr">
        <is>
          <t>新增</t>
        </is>
      </c>
      <c r="M79" s="55">
        <f>IF(L79="新增",1,IF(L79="复用",1/3,0))</f>
        <v/>
      </c>
    </row>
    <row r="80" ht="54" customHeight="1">
      <c r="A80" s="56" t="n"/>
      <c r="B80" s="56" t="n"/>
      <c r="C80" s="56" t="n"/>
      <c r="D80" s="56" t="n"/>
      <c r="E80" s="53" t="inlineStr">
        <is>
          <t>发起者：操作员
接收者：地市后台</t>
        </is>
      </c>
      <c r="F80" s="53" t="inlineStr">
        <is>
          <t>用户触发</t>
        </is>
      </c>
      <c r="G80" s="53" t="inlineStr">
        <is>
          <t>编辑自定义页面</t>
        </is>
      </c>
      <c r="H80" s="54" t="inlineStr">
        <is>
          <t>点击编辑按钮提交编辑页面请求</t>
        </is>
      </c>
      <c r="I80" s="53" t="inlineStr">
        <is>
          <t>E</t>
        </is>
      </c>
      <c r="J80" s="54" t="inlineStr">
        <is>
          <t>编辑页面请求数据</t>
        </is>
      </c>
      <c r="K80" s="54" t="inlineStr">
        <is>
          <t>页面ID、操作人ID、时间戳</t>
        </is>
      </c>
      <c r="L80" s="53" t="inlineStr">
        <is>
          <t>新增</t>
        </is>
      </c>
      <c r="M80" s="55">
        <f>IF(L80="新增",1,IF(L80="复用",1/3,0))</f>
        <v/>
      </c>
    </row>
    <row r="81" ht="54" customHeight="1">
      <c r="A81" s="56" t="n"/>
      <c r="B81" s="56" t="n"/>
      <c r="C81" s="56" t="n"/>
      <c r="D81" s="56" t="n"/>
      <c r="E81" s="56" t="n"/>
      <c r="F81" s="56" t="n"/>
      <c r="G81" s="56" t="n"/>
      <c r="H81" s="54" t="inlineStr">
        <is>
          <t>读取自定义页面的完整配置数据用于回显</t>
        </is>
      </c>
      <c r="I81" s="53" t="inlineStr">
        <is>
          <t>R</t>
        </is>
      </c>
      <c r="J81" s="54" t="inlineStr">
        <is>
          <t>自定义页面源数据</t>
        </is>
      </c>
      <c r="K81" s="54" t="inlineStr">
        <is>
          <t>页面ID、页面名称、组件列表、页面样式、页面背景、页面权限</t>
        </is>
      </c>
      <c r="L81" s="53" t="inlineStr">
        <is>
          <t>新增</t>
        </is>
      </c>
      <c r="M81" s="55">
        <f>IF(L81="新增",1,IF(L81="复用",1/3,0))</f>
        <v/>
      </c>
    </row>
    <row r="82" ht="54" customHeight="1">
      <c r="A82" s="56" t="n"/>
      <c r="B82" s="56" t="n"/>
      <c r="C82" s="56" t="n"/>
      <c r="D82" s="56" t="n"/>
      <c r="E82" s="57" t="n"/>
      <c r="F82" s="57" t="n"/>
      <c r="G82" s="57" t="n"/>
      <c r="H82" s="54" t="inlineStr">
        <is>
          <t>返回编辑表单页面并渲染已有配置</t>
        </is>
      </c>
      <c r="I82" s="53" t="inlineStr">
        <is>
          <t>X</t>
        </is>
      </c>
      <c r="J82" s="54" t="inlineStr">
        <is>
          <t>编辑页面响应数据</t>
        </is>
      </c>
      <c r="K82" s="54" t="inlineStr">
        <is>
          <t>页面ID、页面名称、组件列表、页面样式、页面背景、页面权限</t>
        </is>
      </c>
      <c r="L82" s="53" t="inlineStr">
        <is>
          <t>新增</t>
        </is>
      </c>
      <c r="M82" s="55">
        <f>IF(L82="新增",1,IF(L82="复用",1/3,0))</f>
        <v/>
      </c>
    </row>
    <row r="83" ht="54" customHeight="1">
      <c r="A83" s="56" t="n"/>
      <c r="B83" s="56" t="n"/>
      <c r="C83" s="56" t="n"/>
      <c r="D83" s="56" t="n"/>
      <c r="E83" s="53" t="inlineStr">
        <is>
          <t>发起者：操作员
接收者：地市后台</t>
        </is>
      </c>
      <c r="F83" s="53" t="inlineStr">
        <is>
          <t>用户触发</t>
        </is>
      </c>
      <c r="G83" s="53" t="inlineStr">
        <is>
          <t>自定义页面列表数据查询</t>
        </is>
      </c>
      <c r="H83" s="54" t="inlineStr">
        <is>
          <t>进入自定义页面管理页提交列表查询请求</t>
        </is>
      </c>
      <c r="I83" s="53" t="inlineStr">
        <is>
          <t>E</t>
        </is>
      </c>
      <c r="J83" s="54" t="inlineStr">
        <is>
          <t>列表查询请求数据</t>
        </is>
      </c>
      <c r="K83" s="54" t="inlineStr">
        <is>
          <t>搜索条件、分页参数、排序字段、排序方式</t>
        </is>
      </c>
      <c r="L83" s="53" t="inlineStr">
        <is>
          <t>新增</t>
        </is>
      </c>
      <c r="M83" s="55">
        <f>IF(L83="新增",1,IF(L83="复用",1/3,0))</f>
        <v/>
      </c>
    </row>
    <row r="84" ht="54" customHeight="1">
      <c r="A84" s="56" t="n"/>
      <c r="B84" s="56" t="n"/>
      <c r="C84" s="56" t="n"/>
      <c r="D84" s="56" t="n"/>
      <c r="E84" s="56" t="n"/>
      <c r="F84" s="56" t="n"/>
      <c r="G84" s="56" t="n"/>
      <c r="H84" s="54" t="inlineStr">
        <is>
          <t>从数据库读取符合条件的所有自定义页面列表</t>
        </is>
      </c>
      <c r="I84" s="53" t="inlineStr">
        <is>
          <t>R</t>
        </is>
      </c>
      <c r="J84" s="54" t="inlineStr">
        <is>
          <t>自定义页面列表数据</t>
        </is>
      </c>
      <c r="K84" s="54" t="inlineStr">
        <is>
          <t>页面ID、页面名称、页面类型、创建人、创建时间、最后修改时间、状态</t>
        </is>
      </c>
      <c r="L84" s="53" t="inlineStr">
        <is>
          <t>新增</t>
        </is>
      </c>
      <c r="M84" s="55">
        <f>IF(L84="新增",1,IF(L84="复用",1/3,0))</f>
        <v/>
      </c>
    </row>
    <row r="85" ht="54" customHeight="1">
      <c r="A85" s="56" t="n"/>
      <c r="B85" s="56" t="n"/>
      <c r="C85" s="56" t="n"/>
      <c r="D85" s="56" t="n"/>
      <c r="E85" s="57" t="n"/>
      <c r="F85" s="57" t="n"/>
      <c r="G85" s="57" t="n"/>
      <c r="H85" s="54" t="inlineStr">
        <is>
          <t>将列表数据封装并返回展示给操作员</t>
        </is>
      </c>
      <c r="I85" s="53" t="inlineStr">
        <is>
          <t>X</t>
        </is>
      </c>
      <c r="J85" s="54" t="inlineStr">
        <is>
          <t>列表查询响应数据</t>
        </is>
      </c>
      <c r="K85" s="54" t="inlineStr">
        <is>
          <t>页面ID、页面名称、页面类型、创建人、创建时间、最后修改时间、状态</t>
        </is>
      </c>
      <c r="L85" s="53" t="inlineStr">
        <is>
          <t>新增</t>
        </is>
      </c>
      <c r="M85" s="55">
        <f>IF(L85="新增",1,IF(L85="复用",1/3,0))</f>
        <v/>
      </c>
    </row>
    <row r="86" ht="54" customHeight="1">
      <c r="A86" s="56" t="n"/>
      <c r="B86" s="56" t="n"/>
      <c r="C86" s="56" t="n"/>
      <c r="D86" s="56" t="n"/>
      <c r="E86" s="53" t="inlineStr">
        <is>
          <t>发起者：操作员
接收者：地市后台</t>
        </is>
      </c>
      <c r="F86" s="53" t="inlineStr">
        <is>
          <t>用户触发</t>
        </is>
      </c>
      <c r="G86" s="53" t="inlineStr">
        <is>
          <t>获取自定义页面地址</t>
        </is>
      </c>
      <c r="H86" s="54" t="inlineStr">
        <is>
          <t>点击获取地址按钮提交生成地址请求</t>
        </is>
      </c>
      <c r="I86" s="53" t="inlineStr">
        <is>
          <t>E</t>
        </is>
      </c>
      <c r="J86" s="54" t="inlineStr">
        <is>
          <t>获取地址请求数据</t>
        </is>
      </c>
      <c r="K86" s="54" t="inlineStr">
        <is>
          <t>页面ID、操作人ID、请求来源</t>
        </is>
      </c>
      <c r="L86" s="53" t="inlineStr">
        <is>
          <t>新增</t>
        </is>
      </c>
      <c r="M86" s="55">
        <f>IF(L86="新增",1,IF(L86="复用",1/3,0))</f>
        <v/>
      </c>
    </row>
    <row r="87" ht="54" customHeight="1">
      <c r="A87" s="56" t="n"/>
      <c r="B87" s="56" t="n"/>
      <c r="C87" s="56" t="n"/>
      <c r="D87" s="56" t="n"/>
      <c r="E87" s="56" t="n"/>
      <c r="F87" s="56" t="n"/>
      <c r="G87" s="56" t="n"/>
      <c r="H87" s="54" t="inlineStr">
        <is>
          <t>读取自定义页面的地址配置及发布状态</t>
        </is>
      </c>
      <c r="I87" s="53" t="inlineStr">
        <is>
          <t>R</t>
        </is>
      </c>
      <c r="J87" s="54" t="inlineStr">
        <is>
          <t>自定义页面地址数据</t>
        </is>
      </c>
      <c r="K87" s="54" t="inlineStr">
        <is>
          <t>页面ID、页面状态、域名、路径、访问权限</t>
        </is>
      </c>
      <c r="L87" s="53" t="inlineStr">
        <is>
          <t>新增</t>
        </is>
      </c>
      <c r="M87" s="55">
        <f>IF(L87="新增",1,IF(L87="复用",1/3,0))</f>
        <v/>
      </c>
    </row>
    <row r="88" ht="54" customHeight="1">
      <c r="A88" s="56" t="n"/>
      <c r="B88" s="56" t="n"/>
      <c r="C88" s="57" t="n"/>
      <c r="D88" s="57" t="n"/>
      <c r="E88" s="57" t="n"/>
      <c r="F88" s="57" t="n"/>
      <c r="G88" s="57" t="n"/>
      <c r="H88" s="54" t="inlineStr">
        <is>
          <t>生成完整访问地址并返回给操作员</t>
        </is>
      </c>
      <c r="I88" s="53" t="inlineStr">
        <is>
          <t>X</t>
        </is>
      </c>
      <c r="J88" s="54" t="inlineStr">
        <is>
          <t>获取地址响应数据</t>
        </is>
      </c>
      <c r="K88" s="54" t="inlineStr">
        <is>
          <t>页面ID、完整URL、二维码图片、有效期、短链接</t>
        </is>
      </c>
      <c r="L88" s="53" t="inlineStr">
        <is>
          <t>新增</t>
        </is>
      </c>
      <c r="M88" s="55">
        <f>IF(L88="新增",1,IF(L88="复用",1/3,0))</f>
        <v/>
      </c>
    </row>
    <row r="89" ht="54" customHeight="1">
      <c r="A89" s="56" t="n"/>
      <c r="B89" s="56" t="n"/>
      <c r="C89" s="53" t="inlineStr">
        <is>
          <t>行业人员认证管理</t>
        </is>
      </c>
      <c r="D89" s="53" t="inlineStr">
        <is>
          <t>行业人员认证列表</t>
        </is>
      </c>
      <c r="E89" s="53" t="inlineStr">
        <is>
          <t>发起者：操作员
接收者：地市后台</t>
        </is>
      </c>
      <c r="F89" s="53" t="inlineStr">
        <is>
          <t>用户触发</t>
        </is>
      </c>
      <c r="G89" s="53" t="inlineStr">
        <is>
          <t>导入已认证行业人员</t>
        </is>
      </c>
      <c r="H89" s="54" t="inlineStr">
        <is>
          <t>提交导入文件和参数</t>
        </is>
      </c>
      <c r="I89" s="53" t="inlineStr">
        <is>
          <t>E</t>
        </is>
      </c>
      <c r="J89" s="54" t="inlineStr">
        <is>
          <t>导入请求</t>
        </is>
      </c>
      <c r="K89" s="54" t="inlineStr">
        <is>
          <t>导入文件、导入模式、操作员标识</t>
        </is>
      </c>
      <c r="L89" s="53" t="inlineStr">
        <is>
          <t>新增</t>
        </is>
      </c>
      <c r="M89" s="55">
        <f>IF(L89="新增",1,IF(L89="复用",1/3,0))</f>
        <v/>
      </c>
    </row>
    <row r="90" ht="54" customHeight="1">
      <c r="A90" s="56" t="n"/>
      <c r="B90" s="56" t="n"/>
      <c r="C90" s="56" t="n"/>
      <c r="D90" s="56" t="n"/>
      <c r="E90" s="56" t="n"/>
      <c r="F90" s="56" t="n"/>
      <c r="G90" s="56" t="n"/>
      <c r="H90" s="54" t="inlineStr">
        <is>
          <t>读取现有行业人员数据用于校验</t>
        </is>
      </c>
      <c r="I90" s="53" t="inlineStr">
        <is>
          <t>R</t>
        </is>
      </c>
      <c r="J90" s="54" t="inlineStr">
        <is>
          <t>行业人员表</t>
        </is>
      </c>
      <c r="K90" s="54" t="inlineStr">
        <is>
          <t>身份证号、姓名、认证编号、认证类型、认证状态</t>
        </is>
      </c>
      <c r="L90" s="53" t="inlineStr">
        <is>
          <t>新增</t>
        </is>
      </c>
      <c r="M90" s="55">
        <f>IF(L90="新增",1,IF(L90="复用",1/3,0))</f>
        <v/>
      </c>
    </row>
    <row r="91" ht="54" customHeight="1">
      <c r="A91" s="56" t="n"/>
      <c r="B91" s="56" t="n"/>
      <c r="C91" s="56" t="n"/>
      <c r="D91" s="56" t="n"/>
      <c r="E91" s="57" t="n"/>
      <c r="F91" s="57" t="n"/>
      <c r="G91" s="57" t="n"/>
      <c r="H91" s="54" t="inlineStr">
        <is>
          <t>写入导入的行业人员数据</t>
        </is>
      </c>
      <c r="I91" s="53" t="inlineStr">
        <is>
          <t>W</t>
        </is>
      </c>
      <c r="J91" s="54" t="inlineStr">
        <is>
          <t>行业人员表</t>
        </is>
      </c>
      <c r="K91" s="54" t="inlineStr">
        <is>
          <t>身份证号、姓名、手机号、所属行业、认证编号、认证类型、认证时间、认证状态</t>
        </is>
      </c>
      <c r="L91" s="53" t="inlineStr">
        <is>
          <t>新增</t>
        </is>
      </c>
      <c r="M91" s="55">
        <f>IF(L91="新增",1,IF(L91="复用",1/3,0))</f>
        <v/>
      </c>
    </row>
    <row r="92" ht="54" customHeight="1">
      <c r="A92" s="56" t="n"/>
      <c r="B92" s="56" t="n"/>
      <c r="C92" s="56" t="n"/>
      <c r="D92" s="56" t="n"/>
      <c r="E92" s="53" t="inlineStr">
        <is>
          <t>发起者：操作员
接收者：地市后台</t>
        </is>
      </c>
      <c r="F92" s="53" t="inlineStr">
        <is>
          <t>用户触发</t>
        </is>
      </c>
      <c r="G92" s="53" t="inlineStr">
        <is>
          <t>导出已认证行业人员</t>
        </is>
      </c>
      <c r="H92" s="54" t="inlineStr">
        <is>
          <t>提交导出请求</t>
        </is>
      </c>
      <c r="I92" s="53" t="inlineStr">
        <is>
          <t>E</t>
        </is>
      </c>
      <c r="J92" s="54" t="inlineStr">
        <is>
          <t>导出请求</t>
        </is>
      </c>
      <c r="K92" s="54" t="inlineStr">
        <is>
          <t>导出条件、导出格式、操作员标识</t>
        </is>
      </c>
      <c r="L92" s="53" t="inlineStr">
        <is>
          <t>新增</t>
        </is>
      </c>
      <c r="M92" s="55">
        <f>IF(L92="新增",1,IF(L92="复用",1/3,0))</f>
        <v/>
      </c>
    </row>
    <row r="93" ht="54" customHeight="1">
      <c r="A93" s="56" t="n"/>
      <c r="B93" s="56" t="n"/>
      <c r="C93" s="56" t="n"/>
      <c r="D93" s="56" t="n"/>
      <c r="E93" s="56" t="n"/>
      <c r="F93" s="56" t="n"/>
      <c r="G93" s="56" t="n"/>
      <c r="H93" s="54" t="inlineStr">
        <is>
          <t>读取已认证行业人员数据</t>
        </is>
      </c>
      <c r="I93" s="53" t="inlineStr">
        <is>
          <t>R</t>
        </is>
      </c>
      <c r="J93" s="54" t="inlineStr">
        <is>
          <t>行业人员表</t>
        </is>
      </c>
      <c r="K93" s="54" t="inlineStr">
        <is>
          <t>身份证号、姓名、手机号、所属行业、认证编号、认证类型、认证时间、认证状态</t>
        </is>
      </c>
      <c r="L93" s="53" t="inlineStr">
        <is>
          <t>新增</t>
        </is>
      </c>
      <c r="M93" s="55">
        <f>IF(L93="新增",1,IF(L93="复用",1/3,0))</f>
        <v/>
      </c>
    </row>
    <row r="94" ht="54" customHeight="1">
      <c r="A94" s="56" t="n"/>
      <c r="B94" s="56" t="n"/>
      <c r="C94" s="56" t="n"/>
      <c r="D94" s="56" t="n"/>
      <c r="E94" s="57" t="n"/>
      <c r="F94" s="57" t="n"/>
      <c r="G94" s="57" t="n"/>
      <c r="H94" s="54" t="inlineStr">
        <is>
          <t>生成并返回导出文件</t>
        </is>
      </c>
      <c r="I94" s="53" t="inlineStr">
        <is>
          <t>X</t>
        </is>
      </c>
      <c r="J94" s="54" t="inlineStr">
        <is>
          <t>导出文件</t>
        </is>
      </c>
      <c r="K94" s="54" t="inlineStr">
        <is>
          <t>文件流、文件名、文件类型</t>
        </is>
      </c>
      <c r="L94" s="53" t="inlineStr">
        <is>
          <t>新增</t>
        </is>
      </c>
      <c r="M94" s="55">
        <f>IF(L94="新增",1,IF(L94="复用",1/3,0))</f>
        <v/>
      </c>
    </row>
    <row r="95" ht="54" customHeight="1">
      <c r="A95" s="56" t="n"/>
      <c r="B95" s="56" t="n"/>
      <c r="C95" s="56" t="n"/>
      <c r="D95" s="56" t="n"/>
      <c r="E95" s="53" t="inlineStr">
        <is>
          <t>发起者：操作员
接收者：地市后台</t>
        </is>
      </c>
      <c r="F95" s="53" t="inlineStr">
        <is>
          <t>用户触发</t>
        </is>
      </c>
      <c r="G95" s="53" t="inlineStr">
        <is>
          <t>查询已认证行业人员信息</t>
        </is>
      </c>
      <c r="H95" s="54" t="inlineStr">
        <is>
          <t>提交查询条件</t>
        </is>
      </c>
      <c r="I95" s="53" t="inlineStr">
        <is>
          <t>E</t>
        </is>
      </c>
      <c r="J95" s="54" t="inlineStr">
        <is>
          <t>查询请求</t>
        </is>
      </c>
      <c r="K95" s="54" t="inlineStr">
        <is>
          <t>查询关键字、认证类型、操作员标识</t>
        </is>
      </c>
      <c r="L95" s="53" t="inlineStr">
        <is>
          <t>新增</t>
        </is>
      </c>
      <c r="M95" s="55">
        <f>IF(L95="新增",1,IF(L95="复用",1/3,0))</f>
        <v/>
      </c>
    </row>
    <row r="96" ht="54" customHeight="1">
      <c r="A96" s="56" t="n"/>
      <c r="B96" s="56" t="n"/>
      <c r="C96" s="56" t="n"/>
      <c r="D96" s="56" t="n"/>
      <c r="E96" s="56" t="n"/>
      <c r="F96" s="56" t="n"/>
      <c r="G96" s="56" t="n"/>
      <c r="H96" s="54" t="inlineStr">
        <is>
          <t>读取已认证行业人员列表</t>
        </is>
      </c>
      <c r="I96" s="53" t="inlineStr">
        <is>
          <t>R</t>
        </is>
      </c>
      <c r="J96" s="54" t="inlineStr">
        <is>
          <t>行业人员表</t>
        </is>
      </c>
      <c r="K96" s="54" t="inlineStr">
        <is>
          <t>身份证号、姓名、手机号、所属行业、认证编号、认证类型、认证时间、认证状态</t>
        </is>
      </c>
      <c r="L96" s="53" t="inlineStr">
        <is>
          <t>新增</t>
        </is>
      </c>
      <c r="M96" s="55">
        <f>IF(L96="新增",1,IF(L96="复用",1/3,0))</f>
        <v/>
      </c>
    </row>
    <row r="97" ht="54" customHeight="1">
      <c r="A97" s="56" t="n"/>
      <c r="B97" s="56" t="n"/>
      <c r="C97" s="56" t="n"/>
      <c r="D97" s="57" t="n"/>
      <c r="E97" s="57" t="n"/>
      <c r="F97" s="57" t="n"/>
      <c r="G97" s="57" t="n"/>
      <c r="H97" s="54" t="inlineStr">
        <is>
          <t>返回查询结果列表</t>
        </is>
      </c>
      <c r="I97" s="53" t="inlineStr">
        <is>
          <t>X</t>
        </is>
      </c>
      <c r="J97" s="54" t="inlineStr">
        <is>
          <t>查询结果</t>
        </is>
      </c>
      <c r="K97" s="54" t="inlineStr">
        <is>
          <t>总条数、人员列表、分页信息</t>
        </is>
      </c>
      <c r="L97" s="53" t="inlineStr">
        <is>
          <t>新增</t>
        </is>
      </c>
      <c r="M97" s="55">
        <f>IF(L97="新增",1,IF(L97="复用",1/3,0))</f>
        <v/>
      </c>
    </row>
    <row r="98" ht="54" customHeight="1">
      <c r="A98" s="56" t="n"/>
      <c r="B98" s="56" t="n"/>
      <c r="C98" s="56" t="n"/>
      <c r="D98" s="53" t="inlineStr">
        <is>
          <t>行业人员稽核列表</t>
        </is>
      </c>
      <c r="E98" s="53" t="inlineStr">
        <is>
          <t>发起者：操作员
接收者：地市后台</t>
        </is>
      </c>
      <c r="F98" s="53" t="inlineStr">
        <is>
          <t>用户触发</t>
        </is>
      </c>
      <c r="G98" s="53" t="inlineStr">
        <is>
          <t>行业人员稽核操作</t>
        </is>
      </c>
      <c r="H98" s="54" t="inlineStr">
        <is>
          <t>提交稽核结果指令</t>
        </is>
      </c>
      <c r="I98" s="53" t="inlineStr">
        <is>
          <t>E</t>
        </is>
      </c>
      <c r="J98" s="54" t="inlineStr">
        <is>
          <t>稽核结果提交数据</t>
        </is>
      </c>
      <c r="K98" s="54" t="inlineStr">
        <is>
          <t>人员ID、稽核状态、稽核意见、操作人ID</t>
        </is>
      </c>
      <c r="L98" s="53" t="inlineStr">
        <is>
          <t>新增</t>
        </is>
      </c>
      <c r="M98" s="55">
        <f>IF(L98="新增",1,IF(L98="复用",1/3,0))</f>
        <v/>
      </c>
    </row>
    <row r="99" ht="54" customHeight="1">
      <c r="A99" s="56" t="n"/>
      <c r="B99" s="56" t="n"/>
      <c r="C99" s="56" t="n"/>
      <c r="D99" s="56" t="n"/>
      <c r="E99" s="57" t="n"/>
      <c r="F99" s="57" t="n"/>
      <c r="G99" s="57" t="n"/>
      <c r="H99" s="54" t="inlineStr">
        <is>
          <t>写入行业认证人员表</t>
        </is>
      </c>
      <c r="I99" s="53" t="inlineStr">
        <is>
          <t>W</t>
        </is>
      </c>
      <c r="J99" s="54" t="inlineStr">
        <is>
          <t>行业认证人员表</t>
        </is>
      </c>
      <c r="K99" s="54" t="inlineStr">
        <is>
          <t>人员编号、认证状态、认证时间、认证意见</t>
        </is>
      </c>
      <c r="L99" s="53" t="inlineStr">
        <is>
          <t>新增</t>
        </is>
      </c>
      <c r="M99" s="55">
        <f>IF(L99="新增",1,IF(L99="复用",1/3,0))</f>
        <v/>
      </c>
    </row>
    <row r="100" ht="54" customHeight="1">
      <c r="A100" s="56" t="n"/>
      <c r="B100" s="56" t="n"/>
      <c r="C100" s="56" t="n"/>
      <c r="D100" s="56" t="n"/>
      <c r="E100" s="53" t="inlineStr">
        <is>
          <t>发起者：操作员
接收者：地市后台</t>
        </is>
      </c>
      <c r="F100" s="53" t="inlineStr">
        <is>
          <t>用户触发</t>
        </is>
      </c>
      <c r="G100" s="53" t="inlineStr">
        <is>
          <t>导出行业人员稽核数据</t>
        </is>
      </c>
      <c r="H100" s="54" t="inlineStr">
        <is>
          <t>提交导出请求</t>
        </is>
      </c>
      <c r="I100" s="53" t="inlineStr">
        <is>
          <t>E</t>
        </is>
      </c>
      <c r="J100" s="54" t="inlineStr">
        <is>
          <t>导出请求参数</t>
        </is>
      </c>
      <c r="K100" s="54" t="inlineStr">
        <is>
          <t>导出类型、时间范围、审核状态</t>
        </is>
      </c>
      <c r="L100" s="53" t="inlineStr">
        <is>
          <t>新增</t>
        </is>
      </c>
      <c r="M100" s="55">
        <f>IF(L100="新增",1,IF(L100="复用",1/3,0))</f>
        <v/>
      </c>
    </row>
    <row r="101" ht="54" customHeight="1">
      <c r="A101" s="56" t="n"/>
      <c r="B101" s="56" t="n"/>
      <c r="C101" s="56" t="n"/>
      <c r="D101" s="56" t="n"/>
      <c r="E101" s="56" t="n"/>
      <c r="F101" s="56" t="n"/>
      <c r="G101" s="56" t="n"/>
      <c r="H101" s="54" t="inlineStr">
        <is>
          <t>读取行业人员稽核列表数据</t>
        </is>
      </c>
      <c r="I101" s="53" t="inlineStr">
        <is>
          <t>R</t>
        </is>
      </c>
      <c r="J101" s="54" t="inlineStr">
        <is>
          <t>行业人员稽核数据</t>
        </is>
      </c>
      <c r="K101" s="54" t="inlineStr">
        <is>
          <t>人员姓名、身份证号、手机号、注册时间、审核状态、审核人</t>
        </is>
      </c>
      <c r="L101" s="53" t="inlineStr">
        <is>
          <t>新增</t>
        </is>
      </c>
      <c r="M101" s="55">
        <f>IF(L101="新增",1,IF(L101="复用",1/3,0))</f>
        <v/>
      </c>
    </row>
    <row r="102" ht="54" customHeight="1">
      <c r="A102" s="56" t="n"/>
      <c r="B102" s="56" t="n"/>
      <c r="C102" s="56" t="n"/>
      <c r="D102" s="56" t="n"/>
      <c r="E102" s="57" t="n"/>
      <c r="F102" s="57" t="n"/>
      <c r="G102" s="57" t="n"/>
      <c r="H102" s="54" t="inlineStr">
        <is>
          <t>生成导出文件并下载</t>
        </is>
      </c>
      <c r="I102" s="53" t="inlineStr">
        <is>
          <t>X</t>
        </is>
      </c>
      <c r="J102" s="54" t="inlineStr">
        <is>
          <t>导出文件</t>
        </is>
      </c>
      <c r="K102" s="54" t="inlineStr">
        <is>
          <t>文件名、文件格式、文件大小</t>
        </is>
      </c>
      <c r="L102" s="53" t="inlineStr">
        <is>
          <t>新增</t>
        </is>
      </c>
      <c r="M102" s="55">
        <f>IF(L102="新增",1,IF(L102="复用",1/3,0))</f>
        <v/>
      </c>
    </row>
    <row r="103" ht="54" customHeight="1">
      <c r="A103" s="56" t="n"/>
      <c r="B103" s="56" t="n"/>
      <c r="C103" s="56" t="n"/>
      <c r="D103" s="56" t="n"/>
      <c r="E103" s="53" t="inlineStr">
        <is>
          <t>发起者：操作员
接收者：地市后台</t>
        </is>
      </c>
      <c r="F103" s="53" t="inlineStr">
        <is>
          <t>用户触发</t>
        </is>
      </c>
      <c r="G103" s="53" t="inlineStr">
        <is>
          <t>行业人员稽核列表查询</t>
        </is>
      </c>
      <c r="H103" s="54" t="inlineStr">
        <is>
          <t>提交查询条件</t>
        </is>
      </c>
      <c r="I103" s="53" t="inlineStr">
        <is>
          <t>E</t>
        </is>
      </c>
      <c r="J103" s="54" t="inlineStr">
        <is>
          <t>查询请求参数</t>
        </is>
      </c>
      <c r="K103" s="54" t="inlineStr">
        <is>
          <t>人员姓名、身份证号、审核状态、注册时间范围</t>
        </is>
      </c>
      <c r="L103" s="53" t="inlineStr">
        <is>
          <t>新增</t>
        </is>
      </c>
      <c r="M103" s="55">
        <f>IF(L103="新增",1,IF(L103="复用",1/3,0))</f>
        <v/>
      </c>
    </row>
    <row r="104" ht="54" customHeight="1">
      <c r="A104" s="56" t="n"/>
      <c r="B104" s="56" t="n"/>
      <c r="C104" s="56" t="n"/>
      <c r="D104" s="56" t="n"/>
      <c r="E104" s="56" t="n"/>
      <c r="F104" s="56" t="n"/>
      <c r="G104" s="56" t="n"/>
      <c r="H104" s="54" t="inlineStr">
        <is>
          <t>读取行业人员稽核列表数据</t>
        </is>
      </c>
      <c r="I104" s="53" t="inlineStr">
        <is>
          <t>R</t>
        </is>
      </c>
      <c r="J104" s="54" t="inlineStr">
        <is>
          <t>行业人员稽核数据</t>
        </is>
      </c>
      <c r="K104" s="54" t="inlineStr">
        <is>
          <t>人员ID、姓名、手机号、身份证号、注册时间、审核状态、审核意见</t>
        </is>
      </c>
      <c r="L104" s="53" t="inlineStr">
        <is>
          <t>新增</t>
        </is>
      </c>
      <c r="M104" s="55">
        <f>IF(L104="新增",1,IF(L104="复用",1/3,0))</f>
        <v/>
      </c>
    </row>
    <row r="105" ht="54" customHeight="1">
      <c r="A105" s="56" t="n"/>
      <c r="B105" s="56" t="n"/>
      <c r="C105" s="57" t="n"/>
      <c r="D105" s="57" t="n"/>
      <c r="E105" s="57" t="n"/>
      <c r="F105" s="57" t="n"/>
      <c r="G105" s="57" t="n"/>
      <c r="H105" s="54" t="inlineStr">
        <is>
          <t>返回查询结果列表</t>
        </is>
      </c>
      <c r="I105" s="53" t="inlineStr">
        <is>
          <t>X</t>
        </is>
      </c>
      <c r="J105" s="54" t="inlineStr">
        <is>
          <t>列表展示数据</t>
        </is>
      </c>
      <c r="K105" s="54" t="inlineStr">
        <is>
          <t>人员信息、审核状态、操作按钮</t>
        </is>
      </c>
      <c r="L105" s="53" t="inlineStr">
        <is>
          <t>新增</t>
        </is>
      </c>
      <c r="M105" s="55">
        <f>IF(L105="新增",1,IF(L105="复用",1/3,0))</f>
        <v/>
      </c>
    </row>
    <row r="106" ht="54" customHeight="1">
      <c r="A106" s="56" t="n"/>
      <c r="B106" s="56" t="n"/>
      <c r="C106" s="53" t="inlineStr">
        <is>
          <t>驿站管理</t>
        </is>
      </c>
      <c r="D106" s="53" t="inlineStr">
        <is>
          <t>驿站列表</t>
        </is>
      </c>
      <c r="E106" s="53" t="inlineStr">
        <is>
          <t>发起者：操作员
接收者：地市后台</t>
        </is>
      </c>
      <c r="F106" s="53" t="inlineStr">
        <is>
          <t>用户触发</t>
        </is>
      </c>
      <c r="G106" s="53" t="inlineStr">
        <is>
          <t>删除驿站</t>
        </is>
      </c>
      <c r="H106" s="54" t="inlineStr">
        <is>
          <t>点击删除按钮并确认删除</t>
        </is>
      </c>
      <c r="I106" s="53" t="inlineStr">
        <is>
          <t>E</t>
        </is>
      </c>
      <c r="J106" s="54" t="inlineStr">
        <is>
          <t>删除请求</t>
        </is>
      </c>
      <c r="K106" s="54" t="inlineStr">
        <is>
          <t>驿站ID、操作员ID、删除原因</t>
        </is>
      </c>
      <c r="L106" s="53" t="inlineStr">
        <is>
          <t>新增</t>
        </is>
      </c>
      <c r="M106" s="55">
        <f>IF(L106="新增",1,IF(L106="复用",1/3,0))</f>
        <v/>
      </c>
    </row>
    <row r="107" ht="54" customHeight="1">
      <c r="A107" s="56" t="n"/>
      <c r="B107" s="56" t="n"/>
      <c r="C107" s="56" t="n"/>
      <c r="D107" s="56" t="n"/>
      <c r="E107" s="57" t="n"/>
      <c r="F107" s="57" t="n"/>
      <c r="G107" s="57" t="n"/>
      <c r="H107" s="54" t="inlineStr">
        <is>
          <t>从数据库删除驿站记录</t>
        </is>
      </c>
      <c r="I107" s="53" t="inlineStr">
        <is>
          <t>W</t>
        </is>
      </c>
      <c r="J107" s="54" t="inlineStr">
        <is>
          <t>驿站表</t>
        </is>
      </c>
      <c r="K107" s="54" t="inlineStr">
        <is>
          <t>驿站ID、驿站名称、驿站状态、删除时间、删除操作员</t>
        </is>
      </c>
      <c r="L107" s="53" t="inlineStr">
        <is>
          <t>新增</t>
        </is>
      </c>
      <c r="M107" s="55">
        <f>IF(L107="新增",1,IF(L107="复用",1/3,0))</f>
        <v/>
      </c>
    </row>
    <row r="108" ht="54" customHeight="1">
      <c r="A108" s="56" t="n"/>
      <c r="B108" s="56" t="n"/>
      <c r="C108" s="56" t="n"/>
      <c r="D108" s="56" t="n"/>
      <c r="E108" s="53" t="inlineStr">
        <is>
          <t>发起者：操作员
接收者：地市后台</t>
        </is>
      </c>
      <c r="F108" s="53" t="inlineStr">
        <is>
          <t>用户触发</t>
        </is>
      </c>
      <c r="G108" s="53" t="inlineStr">
        <is>
          <t>批量导入创建驿站</t>
        </is>
      </c>
      <c r="H108" s="54" t="inlineStr">
        <is>
          <t>上传包含驿站信息的Excel文件</t>
        </is>
      </c>
      <c r="I108" s="53" t="inlineStr">
        <is>
          <t>E</t>
        </is>
      </c>
      <c r="J108" s="54" t="inlineStr">
        <is>
          <t>导入文件</t>
        </is>
      </c>
      <c r="K108" s="54" t="inlineStr">
        <is>
          <t>文件名、文件内容、文件格式</t>
        </is>
      </c>
      <c r="L108" s="53" t="inlineStr">
        <is>
          <t>新增</t>
        </is>
      </c>
      <c r="M108" s="55">
        <f>IF(L108="新增",1,IF(L108="复用",1/3,0))</f>
        <v/>
      </c>
    </row>
    <row r="109" ht="54" customHeight="1">
      <c r="A109" s="56" t="n"/>
      <c r="B109" s="56" t="n"/>
      <c r="C109" s="56" t="n"/>
      <c r="D109" s="56" t="n"/>
      <c r="E109" s="56" t="n"/>
      <c r="F109" s="56" t="n"/>
      <c r="G109" s="56" t="n"/>
      <c r="H109" s="54" t="inlineStr">
        <is>
          <t>读取并解析文件中的驿站数据</t>
        </is>
      </c>
      <c r="I109" s="53" t="inlineStr">
        <is>
          <t>R</t>
        </is>
      </c>
      <c r="J109" s="54" t="inlineStr">
        <is>
          <t>导入数据缓存</t>
        </is>
      </c>
      <c r="K109" s="54" t="inlineStr">
        <is>
          <t>驿站名称、驿站编码、所属区域、负责人、联系电话</t>
        </is>
      </c>
      <c r="L109" s="53" t="inlineStr">
        <is>
          <t>新增</t>
        </is>
      </c>
      <c r="M109" s="55">
        <f>IF(L109="新增",1,IF(L109="复用",1/3,0))</f>
        <v/>
      </c>
    </row>
    <row r="110" ht="54" customHeight="1">
      <c r="A110" s="56" t="n"/>
      <c r="B110" s="56" t="n"/>
      <c r="C110" s="56" t="n"/>
      <c r="D110" s="56" t="n"/>
      <c r="E110" s="57" t="n"/>
      <c r="F110" s="57" t="n"/>
      <c r="G110" s="57" t="n"/>
      <c r="H110" s="54" t="inlineStr">
        <is>
          <t>批量写入驿站表</t>
        </is>
      </c>
      <c r="I110" s="53" t="inlineStr">
        <is>
          <t>W</t>
        </is>
      </c>
      <c r="J110" s="54" t="inlineStr">
        <is>
          <t>驿站表</t>
        </is>
      </c>
      <c r="K110" s="54" t="inlineStr">
        <is>
          <t>驿站ID、驿站名称、驿站编码、所属区域、负责人、联系电话、状态、创建时间</t>
        </is>
      </c>
      <c r="L110" s="53" t="inlineStr">
        <is>
          <t>新增</t>
        </is>
      </c>
      <c r="M110" s="55">
        <f>IF(L110="新增",1,IF(L110="复用",1/3,0))</f>
        <v/>
      </c>
    </row>
    <row r="111" ht="54" customHeight="1">
      <c r="A111" s="56" t="n"/>
      <c r="B111" s="56" t="n"/>
      <c r="C111" s="56" t="n"/>
      <c r="D111" s="56" t="n"/>
      <c r="E111" s="53" t="inlineStr">
        <is>
          <t>发起者：操作员
接收者：地市后台</t>
        </is>
      </c>
      <c r="F111" s="53" t="inlineStr">
        <is>
          <t>用户触发</t>
        </is>
      </c>
      <c r="G111" s="53" t="inlineStr">
        <is>
          <t>搜索驿站</t>
        </is>
      </c>
      <c r="H111" s="54" t="inlineStr">
        <is>
          <t>输入搜索条件并点击搜索</t>
        </is>
      </c>
      <c r="I111" s="53" t="inlineStr">
        <is>
          <t>E</t>
        </is>
      </c>
      <c r="J111" s="54" t="inlineStr">
        <is>
          <t>搜索请求</t>
        </is>
      </c>
      <c r="K111" s="54" t="inlineStr">
        <is>
          <t>关键词、所属区域、驿站状态、分页参数</t>
        </is>
      </c>
      <c r="L111" s="53" t="inlineStr">
        <is>
          <t>新增</t>
        </is>
      </c>
      <c r="M111" s="55">
        <f>IF(L111="新增",1,IF(L111="复用",1/3,0))</f>
        <v/>
      </c>
    </row>
    <row r="112" ht="54" customHeight="1">
      <c r="A112" s="56" t="n"/>
      <c r="B112" s="56" t="n"/>
      <c r="C112" s="56" t="n"/>
      <c r="D112" s="56" t="n"/>
      <c r="E112" s="56" t="n"/>
      <c r="F112" s="56" t="n"/>
      <c r="G112" s="56" t="n"/>
      <c r="H112" s="54" t="inlineStr">
        <is>
          <t>从数据库读取匹配的驿站列表</t>
        </is>
      </c>
      <c r="I112" s="53" t="inlineStr">
        <is>
          <t>R</t>
        </is>
      </c>
      <c r="J112" s="54" t="inlineStr">
        <is>
          <t>驿站表</t>
        </is>
      </c>
      <c r="K112" s="54" t="inlineStr">
        <is>
          <t>驿站ID、驿站名称、驿站编码、所属区域、负责人、联系电话、状态、创建时间</t>
        </is>
      </c>
      <c r="L112" s="53" t="inlineStr">
        <is>
          <t>新增</t>
        </is>
      </c>
      <c r="M112" s="55">
        <f>IF(L112="新增",1,IF(L112="复用",1/3,0))</f>
        <v/>
      </c>
    </row>
    <row r="113" ht="54" customHeight="1">
      <c r="A113" s="56" t="n"/>
      <c r="B113" s="56" t="n"/>
      <c r="C113" s="56" t="n"/>
      <c r="D113" s="56" t="n"/>
      <c r="E113" s="57" t="n"/>
      <c r="F113" s="57" t="n"/>
      <c r="G113" s="57" t="n"/>
      <c r="H113" s="54" t="inlineStr">
        <is>
          <t>返回搜索结果列表</t>
        </is>
      </c>
      <c r="I113" s="53" t="inlineStr">
        <is>
          <t>X</t>
        </is>
      </c>
      <c r="J113" s="54" t="inlineStr">
        <is>
          <t>搜索结果响应</t>
        </is>
      </c>
      <c r="K113" s="54" t="inlineStr">
        <is>
          <t>驿站列表数据、总记录数、当前页码、每页大小</t>
        </is>
      </c>
      <c r="L113" s="53" t="inlineStr">
        <is>
          <t>新增</t>
        </is>
      </c>
      <c r="M113" s="55">
        <f>IF(L113="新增",1,IF(L113="复用",1/3,0))</f>
        <v/>
      </c>
    </row>
    <row r="114" ht="54" customHeight="1">
      <c r="A114" s="56" t="n"/>
      <c r="B114" s="56" t="n"/>
      <c r="C114" s="56" t="n"/>
      <c r="D114" s="56" t="n"/>
      <c r="E114" s="53" t="inlineStr">
        <is>
          <t>发起者：操作员
接收者：地市后台</t>
        </is>
      </c>
      <c r="F114" s="53" t="inlineStr">
        <is>
          <t>用户触发</t>
        </is>
      </c>
      <c r="G114" s="53" t="inlineStr">
        <is>
          <t>更改驿站状态</t>
        </is>
      </c>
      <c r="H114" s="54" t="inlineStr">
        <is>
          <t>点击启用/禁用按钮触发状态变更</t>
        </is>
      </c>
      <c r="I114" s="53" t="inlineStr">
        <is>
          <t>E</t>
        </is>
      </c>
      <c r="J114" s="54" t="inlineStr">
        <is>
          <t>状态变更指令</t>
        </is>
      </c>
      <c r="K114" s="54" t="inlineStr">
        <is>
          <t>驿站ID、新状态、操作员ID</t>
        </is>
      </c>
      <c r="L114" s="53" t="inlineStr">
        <is>
          <t>新增</t>
        </is>
      </c>
      <c r="M114" s="55">
        <f>IF(L114="新增",1,IF(L114="复用",1/3,0))</f>
        <v/>
      </c>
    </row>
    <row r="115" ht="54" customHeight="1">
      <c r="A115" s="56" t="n"/>
      <c r="B115" s="56" t="n"/>
      <c r="C115" s="56" t="n"/>
      <c r="D115" s="56" t="n"/>
      <c r="E115" s="57" t="n"/>
      <c r="F115" s="57" t="n"/>
      <c r="G115" s="57" t="n"/>
      <c r="H115" s="54" t="inlineStr">
        <is>
          <t>更新数据库中驿站的状态字段</t>
        </is>
      </c>
      <c r="I115" s="53" t="inlineStr">
        <is>
          <t>W</t>
        </is>
      </c>
      <c r="J115" s="54" t="inlineStr">
        <is>
          <t>驿站表</t>
        </is>
      </c>
      <c r="K115" s="54" t="inlineStr">
        <is>
          <t>驿站ID、驿站状态、最后修改时间、修改操作员</t>
        </is>
      </c>
      <c r="L115" s="53" t="inlineStr">
        <is>
          <t>新增</t>
        </is>
      </c>
      <c r="M115" s="55">
        <f>IF(L115="新增",1,IF(L115="复用",1/3,0))</f>
        <v/>
      </c>
    </row>
    <row r="116" ht="54" customHeight="1">
      <c r="A116" s="56" t="n"/>
      <c r="B116" s="56" t="n"/>
      <c r="C116" s="56" t="n"/>
      <c r="D116" s="56" t="n"/>
      <c r="E116" s="53" t="inlineStr">
        <is>
          <t>发起者：操作员
接收者：地市后台</t>
        </is>
      </c>
      <c r="F116" s="53" t="inlineStr">
        <is>
          <t>用户触发</t>
        </is>
      </c>
      <c r="G116" s="53" t="inlineStr">
        <is>
          <t>添加驿站</t>
        </is>
      </c>
      <c r="H116" s="54" t="inlineStr">
        <is>
          <t>填写驿站信息并提交新增表单</t>
        </is>
      </c>
      <c r="I116" s="53" t="inlineStr">
        <is>
          <t>E</t>
        </is>
      </c>
      <c r="J116" s="54" t="inlineStr">
        <is>
          <t>新增驿站请求</t>
        </is>
      </c>
      <c r="K116" s="54" t="inlineStr">
        <is>
          <t>驿站名称、驿站编码、所属区域、负责人、联系电话、详细地址</t>
        </is>
      </c>
      <c r="L116" s="53" t="inlineStr">
        <is>
          <t>新增</t>
        </is>
      </c>
      <c r="M116" s="55">
        <f>IF(L116="新增",1,IF(L116="复用",1/3,0))</f>
        <v/>
      </c>
    </row>
    <row r="117" ht="54" customHeight="1">
      <c r="A117" s="56" t="n"/>
      <c r="B117" s="56" t="n"/>
      <c r="C117" s="56" t="n"/>
      <c r="D117" s="56" t="n"/>
      <c r="E117" s="57" t="n"/>
      <c r="F117" s="57" t="n"/>
      <c r="G117" s="57" t="n"/>
      <c r="H117" s="54" t="inlineStr">
        <is>
          <t>将新驿站记录写入数据库</t>
        </is>
      </c>
      <c r="I117" s="53" t="inlineStr">
        <is>
          <t>W</t>
        </is>
      </c>
      <c r="J117" s="54" t="inlineStr">
        <is>
          <t>驿站表</t>
        </is>
      </c>
      <c r="K117" s="54" t="inlineStr">
        <is>
          <t>驿站ID、驿站名称、驿站编码、所属区域、负责人、联系电话、详细地址、状态、创建时间</t>
        </is>
      </c>
      <c r="L117" s="53" t="inlineStr">
        <is>
          <t>新增</t>
        </is>
      </c>
      <c r="M117" s="55">
        <f>IF(L117="新增",1,IF(L117="复用",1/3,0))</f>
        <v/>
      </c>
    </row>
    <row r="118" ht="54" customHeight="1">
      <c r="A118" s="56" t="n"/>
      <c r="B118" s="56" t="n"/>
      <c r="C118" s="56" t="n"/>
      <c r="D118" s="56" t="n"/>
      <c r="E118" s="53" t="inlineStr">
        <is>
          <t>发起者：操作员
接收者：地市后台</t>
        </is>
      </c>
      <c r="F118" s="53" t="inlineStr">
        <is>
          <t>用户触发</t>
        </is>
      </c>
      <c r="G118" s="53" t="inlineStr">
        <is>
          <t>编辑驿站信息</t>
        </is>
      </c>
      <c r="H118" s="54" t="inlineStr">
        <is>
          <t>提交编辑后的驿站信息</t>
        </is>
      </c>
      <c r="I118" s="53" t="inlineStr">
        <is>
          <t>E</t>
        </is>
      </c>
      <c r="J118" s="54" t="inlineStr">
        <is>
          <t>编辑驿站请求</t>
        </is>
      </c>
      <c r="K118" s="54" t="inlineStr">
        <is>
          <t>驿站ID、驿站名称、驿站编码、所属区域、负责人、联系电话、详细地址</t>
        </is>
      </c>
      <c r="L118" s="53" t="inlineStr">
        <is>
          <t>新增</t>
        </is>
      </c>
      <c r="M118" s="55">
        <f>IF(L118="新增",1,IF(L118="复用",1/3,0))</f>
        <v/>
      </c>
    </row>
    <row r="119" ht="72" customHeight="1">
      <c r="A119" s="56" t="n"/>
      <c r="B119" s="56" t="n"/>
      <c r="C119" s="57" t="n"/>
      <c r="D119" s="57" t="n"/>
      <c r="E119" s="57" t="n"/>
      <c r="F119" s="57" t="n"/>
      <c r="G119" s="57" t="n"/>
      <c r="H119" s="54" t="inlineStr">
        <is>
          <t>更新数据库中对应驿站记录</t>
        </is>
      </c>
      <c r="I119" s="53" t="inlineStr">
        <is>
          <t>W</t>
        </is>
      </c>
      <c r="J119" s="54" t="inlineStr">
        <is>
          <t>驿站表</t>
        </is>
      </c>
      <c r="K119" s="54" t="inlineStr">
        <is>
          <t>驿站ID、驿站名称、驿站编码、所属区域、负责人、联系电话、详细地址、最后修改时间、修改操作员</t>
        </is>
      </c>
      <c r="L119" s="53" t="inlineStr">
        <is>
          <t>新增</t>
        </is>
      </c>
      <c r="M119" s="55">
        <f>IF(L119="新增",1,IF(L119="复用",1/3,0))</f>
        <v/>
      </c>
    </row>
    <row r="120" ht="54" customHeight="1">
      <c r="A120" s="56" t="n"/>
      <c r="B120" s="56" t="n"/>
      <c r="C120" s="53" t="inlineStr">
        <is>
          <t>签到管理</t>
        </is>
      </c>
      <c r="D120" s="53" t="inlineStr">
        <is>
          <t>签到奖品配置</t>
        </is>
      </c>
      <c r="E120" s="53" t="inlineStr">
        <is>
          <t>发起者：操作员
接收者：地市后台</t>
        </is>
      </c>
      <c r="F120" s="53" t="inlineStr">
        <is>
          <t>用户触发</t>
        </is>
      </c>
      <c r="G120" s="53" t="inlineStr">
        <is>
          <t>删除签到奖品数据</t>
        </is>
      </c>
      <c r="H120" s="54" t="inlineStr">
        <is>
          <t>点击删除签到奖品，提交删除指令</t>
        </is>
      </c>
      <c r="I120" s="53" t="inlineStr">
        <is>
          <t>E</t>
        </is>
      </c>
      <c r="J120" s="54" t="inlineStr">
        <is>
          <t>删除指令</t>
        </is>
      </c>
      <c r="K120" s="54" t="inlineStr">
        <is>
          <t>奖品ID、操作员ID、删除类型</t>
        </is>
      </c>
      <c r="L120" s="53" t="inlineStr">
        <is>
          <t>新增</t>
        </is>
      </c>
      <c r="M120" s="55">
        <f>IF(L120="新增",1,IF(L120="复用",1/3,0))</f>
        <v/>
      </c>
    </row>
    <row r="121" ht="54" customHeight="1">
      <c r="A121" s="56" t="n"/>
      <c r="B121" s="56" t="n"/>
      <c r="C121" s="56" t="n"/>
      <c r="D121" s="56" t="n"/>
      <c r="E121" s="57" t="n"/>
      <c r="F121" s="57" t="n"/>
      <c r="G121" s="57" t="n"/>
      <c r="H121" s="54" t="inlineStr">
        <is>
          <t>从数据库删除签到奖品记录</t>
        </is>
      </c>
      <c r="I121" s="53" t="inlineStr">
        <is>
          <t>W</t>
        </is>
      </c>
      <c r="J121" s="54" t="inlineStr">
        <is>
          <t>签到奖品表</t>
        </is>
      </c>
      <c r="K121" s="54" t="inlineStr">
        <is>
          <t>奖品ID、奖品名称、奖品类型、库存数量</t>
        </is>
      </c>
      <c r="L121" s="53" t="inlineStr">
        <is>
          <t>新增</t>
        </is>
      </c>
      <c r="M121" s="55">
        <f>IF(L121="新增",1,IF(L121="复用",1/3,0))</f>
        <v/>
      </c>
    </row>
    <row r="122" ht="54" customHeight="1">
      <c r="A122" s="56" t="n"/>
      <c r="B122" s="56" t="n"/>
      <c r="C122" s="56" t="n"/>
      <c r="D122" s="56" t="n"/>
      <c r="E122" s="53" t="inlineStr">
        <is>
          <t>发起者：操作员
接收者：地市后台</t>
        </is>
      </c>
      <c r="F122" s="53" t="inlineStr">
        <is>
          <t>用户触发</t>
        </is>
      </c>
      <c r="G122" s="53" t="inlineStr">
        <is>
          <t>导出签到奖品数据</t>
        </is>
      </c>
      <c r="H122" s="54" t="inlineStr">
        <is>
          <t>点击导出按钮，提交导出请求</t>
        </is>
      </c>
      <c r="I122" s="53" t="inlineStr">
        <is>
          <t>E</t>
        </is>
      </c>
      <c r="J122" s="54" t="inlineStr">
        <is>
          <t>导出请求</t>
        </is>
      </c>
      <c r="K122" s="54" t="inlineStr">
        <is>
          <t>导出格式、筛选条件、用户ID</t>
        </is>
      </c>
      <c r="L122" s="53" t="inlineStr">
        <is>
          <t>新增</t>
        </is>
      </c>
      <c r="M122" s="55">
        <f>IF(L122="新增",1,IF(L122="复用",1/3,0))</f>
        <v/>
      </c>
    </row>
    <row r="123" ht="54" customHeight="1">
      <c r="A123" s="56" t="n"/>
      <c r="B123" s="56" t="n"/>
      <c r="C123" s="56" t="n"/>
      <c r="D123" s="56" t="n"/>
      <c r="E123" s="56" t="n"/>
      <c r="F123" s="56" t="n"/>
      <c r="G123" s="56" t="n"/>
      <c r="H123" s="54" t="inlineStr">
        <is>
          <t>从数据库读取签到奖品列表</t>
        </is>
      </c>
      <c r="I123" s="53" t="inlineStr">
        <is>
          <t>R</t>
        </is>
      </c>
      <c r="J123" s="54" t="inlineStr">
        <is>
          <t>签到奖品表</t>
        </is>
      </c>
      <c r="K123" s="54" t="inlineStr">
        <is>
          <t>奖品ID、奖品名称、奖品类型、库存数量、所需积分、有效期</t>
        </is>
      </c>
      <c r="L123" s="53" t="inlineStr">
        <is>
          <t>新增</t>
        </is>
      </c>
      <c r="M123" s="55">
        <f>IF(L123="新增",1,IF(L123="复用",1/3,0))</f>
        <v/>
      </c>
    </row>
    <row r="124" ht="54" customHeight="1">
      <c r="A124" s="56" t="n"/>
      <c r="B124" s="56" t="n"/>
      <c r="C124" s="56" t="n"/>
      <c r="D124" s="56" t="n"/>
      <c r="E124" s="57" t="n"/>
      <c r="F124" s="57" t="n"/>
      <c r="G124" s="57" t="n"/>
      <c r="H124" s="54" t="inlineStr">
        <is>
          <t>生成导出文件并下载</t>
        </is>
      </c>
      <c r="I124" s="53" t="inlineStr">
        <is>
          <t>X</t>
        </is>
      </c>
      <c r="J124" s="54" t="inlineStr">
        <is>
          <t>导出文件响应</t>
        </is>
      </c>
      <c r="K124" s="54" t="inlineStr">
        <is>
          <t>文件名称、文件格式、文件内容</t>
        </is>
      </c>
      <c r="L124" s="53" t="inlineStr">
        <is>
          <t>新增</t>
        </is>
      </c>
      <c r="M124" s="55">
        <f>IF(L124="新增",1,IF(L124="复用",1/3,0))</f>
        <v/>
      </c>
    </row>
    <row r="125" ht="54" customHeight="1">
      <c r="A125" s="56" t="n"/>
      <c r="B125" s="56" t="n"/>
      <c r="C125" s="56" t="n"/>
      <c r="D125" s="56" t="n"/>
      <c r="E125" s="53" t="inlineStr">
        <is>
          <t>发起者：操作员
接收者：地市后台</t>
        </is>
      </c>
      <c r="F125" s="53" t="inlineStr">
        <is>
          <t>用户触发</t>
        </is>
      </c>
      <c r="G125" s="53" t="inlineStr">
        <is>
          <t>查询签到奖品列表</t>
        </is>
      </c>
      <c r="H125" s="54" t="inlineStr">
        <is>
          <t>输入查询条件并点击查询</t>
        </is>
      </c>
      <c r="I125" s="53" t="inlineStr">
        <is>
          <t>E</t>
        </is>
      </c>
      <c r="J125" s="54" t="inlineStr">
        <is>
          <t>查询请求</t>
        </is>
      </c>
      <c r="K125" s="54" t="inlineStr">
        <is>
          <t>奖品名称、奖品类型、状态</t>
        </is>
      </c>
      <c r="L125" s="53" t="inlineStr">
        <is>
          <t>新增</t>
        </is>
      </c>
      <c r="M125" s="55">
        <f>IF(L125="新增",1,IF(L125="复用",1/3,0))</f>
        <v/>
      </c>
    </row>
    <row r="126" ht="54" customHeight="1">
      <c r="A126" s="56" t="n"/>
      <c r="B126" s="56" t="n"/>
      <c r="C126" s="56" t="n"/>
      <c r="D126" s="56" t="n"/>
      <c r="E126" s="56" t="n"/>
      <c r="F126" s="56" t="n"/>
      <c r="G126" s="56" t="n"/>
      <c r="H126" s="54" t="inlineStr">
        <is>
          <t>从数据库读取签到奖品数据</t>
        </is>
      </c>
      <c r="I126" s="53" t="inlineStr">
        <is>
          <t>R</t>
        </is>
      </c>
      <c r="J126" s="54" t="inlineStr">
        <is>
          <t>签到奖品表</t>
        </is>
      </c>
      <c r="K126" s="54" t="inlineStr">
        <is>
          <t>奖品ID、奖品名称、奖品类型、库存数量、所需积分、有效期、状态</t>
        </is>
      </c>
      <c r="L126" s="53" t="inlineStr">
        <is>
          <t>新增</t>
        </is>
      </c>
      <c r="M126" s="55">
        <f>IF(L126="新增",1,IF(L126="复用",1/3,0))</f>
        <v/>
      </c>
    </row>
    <row r="127" ht="54" customHeight="1">
      <c r="A127" s="56" t="n"/>
      <c r="B127" s="56" t="n"/>
      <c r="C127" s="56" t="n"/>
      <c r="D127" s="56" t="n"/>
      <c r="E127" s="57" t="n"/>
      <c r="F127" s="57" t="n"/>
      <c r="G127" s="57" t="n"/>
      <c r="H127" s="54" t="inlineStr">
        <is>
          <t>展示签到奖品列表</t>
        </is>
      </c>
      <c r="I127" s="53" t="inlineStr">
        <is>
          <t>X</t>
        </is>
      </c>
      <c r="J127" s="54" t="inlineStr">
        <is>
          <t>奖品列表响应</t>
        </is>
      </c>
      <c r="K127" s="54" t="inlineStr">
        <is>
          <t>奖品列表、分页信息、总记录数</t>
        </is>
      </c>
      <c r="L127" s="53" t="inlineStr">
        <is>
          <t>新增</t>
        </is>
      </c>
      <c r="M127" s="55">
        <f>IF(L127="新增",1,IF(L127="复用",1/3,0))</f>
        <v/>
      </c>
    </row>
    <row r="128" ht="54" customHeight="1">
      <c r="A128" s="56" t="n"/>
      <c r="B128" s="56" t="n"/>
      <c r="C128" s="56" t="n"/>
      <c r="D128" s="56" t="n"/>
      <c r="E128" s="53" t="inlineStr">
        <is>
          <t>发起者：操作员
接收者：地市后台</t>
        </is>
      </c>
      <c r="F128" s="53" t="inlineStr">
        <is>
          <t>用户触发</t>
        </is>
      </c>
      <c r="G128" s="53" t="inlineStr">
        <is>
          <t>添加签到奖品</t>
        </is>
      </c>
      <c r="H128" s="54" t="inlineStr">
        <is>
          <t>填写奖品信息并提交</t>
        </is>
      </c>
      <c r="I128" s="53" t="inlineStr">
        <is>
          <t>E</t>
        </is>
      </c>
      <c r="J128" s="54" t="inlineStr">
        <is>
          <t>新增奖品请求</t>
        </is>
      </c>
      <c r="K128" s="54" t="inlineStr">
        <is>
          <t>奖品名称、奖品类型、库存数量、所需积分、有效期、每日上限</t>
        </is>
      </c>
      <c r="L128" s="53" t="inlineStr">
        <is>
          <t>新增</t>
        </is>
      </c>
      <c r="M128" s="55">
        <f>IF(L128="新增",1,IF(L128="复用",1/3,0))</f>
        <v/>
      </c>
    </row>
    <row r="129" ht="54" customHeight="1">
      <c r="A129" s="56" t="n"/>
      <c r="B129" s="56" t="n"/>
      <c r="C129" s="56" t="n"/>
      <c r="D129" s="56" t="n"/>
      <c r="E129" s="57" t="n"/>
      <c r="F129" s="57" t="n"/>
      <c r="G129" s="57" t="n"/>
      <c r="H129" s="54" t="inlineStr">
        <is>
          <t>存储签到奖品数据到数据库</t>
        </is>
      </c>
      <c r="I129" s="53" t="inlineStr">
        <is>
          <t>W</t>
        </is>
      </c>
      <c r="J129" s="54" t="inlineStr">
        <is>
          <t>签到奖品表</t>
        </is>
      </c>
      <c r="K129" s="54" t="inlineStr">
        <is>
          <t>奖品ID、奖品名称、奖品类型、库存数量、所需积分、有效期</t>
        </is>
      </c>
      <c r="L129" s="53" t="inlineStr">
        <is>
          <t>新增</t>
        </is>
      </c>
      <c r="M129" s="55">
        <f>IF(L129="新增",1,IF(L129="复用",1/3,0))</f>
        <v/>
      </c>
    </row>
    <row r="130" ht="54" customHeight="1">
      <c r="A130" s="56" t="n"/>
      <c r="B130" s="56" t="n"/>
      <c r="C130" s="56" t="n"/>
      <c r="D130" s="56" t="n"/>
      <c r="E130" s="53" t="inlineStr">
        <is>
          <t>发起者：操作员
接收者：地市后台</t>
        </is>
      </c>
      <c r="F130" s="53" t="inlineStr">
        <is>
          <t>用户触发</t>
        </is>
      </c>
      <c r="G130" s="53" t="inlineStr">
        <is>
          <t>查询签到列表</t>
        </is>
      </c>
      <c r="H130" s="54" t="inlineStr">
        <is>
          <t>输入查询条件并点击查询</t>
        </is>
      </c>
      <c r="I130" s="53" t="inlineStr">
        <is>
          <t>E</t>
        </is>
      </c>
      <c r="J130" s="54" t="inlineStr">
        <is>
          <t>签到查询请求</t>
        </is>
      </c>
      <c r="K130" s="54" t="inlineStr">
        <is>
          <t>用户ID、签到日期、签到状态</t>
        </is>
      </c>
      <c r="L130" s="53" t="inlineStr">
        <is>
          <t>新增</t>
        </is>
      </c>
      <c r="M130" s="55">
        <f>IF(L130="新增",1,IF(L130="复用",1/3,0))</f>
        <v/>
      </c>
    </row>
    <row r="131" ht="54" customHeight="1">
      <c r="A131" s="56" t="n"/>
      <c r="B131" s="56" t="n"/>
      <c r="C131" s="56" t="n"/>
      <c r="D131" s="56" t="n"/>
      <c r="E131" s="56" t="n"/>
      <c r="F131" s="56" t="n"/>
      <c r="G131" s="56" t="n"/>
      <c r="H131" s="54" t="inlineStr">
        <is>
          <t>从数据库读取签到记录数据</t>
        </is>
      </c>
      <c r="I131" s="53" t="inlineStr">
        <is>
          <t>R</t>
        </is>
      </c>
      <c r="J131" s="54" t="inlineStr">
        <is>
          <t>签到记录表</t>
        </is>
      </c>
      <c r="K131" s="54" t="inlineStr">
        <is>
          <t>签到ID、用户ID、签到日期、签到时间、获得积分、奖品信息</t>
        </is>
      </c>
      <c r="L131" s="53" t="inlineStr">
        <is>
          <t>新增</t>
        </is>
      </c>
      <c r="M131" s="55">
        <f>IF(L131="新增",1,IF(L131="复用",1/3,0))</f>
        <v/>
      </c>
    </row>
    <row r="132" ht="54" customHeight="1">
      <c r="A132" s="56" t="n"/>
      <c r="B132" s="56" t="n"/>
      <c r="C132" s="56" t="n"/>
      <c r="D132" s="56" t="n"/>
      <c r="E132" s="57" t="n"/>
      <c r="F132" s="57" t="n"/>
      <c r="G132" s="57" t="n"/>
      <c r="H132" s="54" t="inlineStr">
        <is>
          <t>展示签到列表</t>
        </is>
      </c>
      <c r="I132" s="53" t="inlineStr">
        <is>
          <t>X</t>
        </is>
      </c>
      <c r="J132" s="54" t="inlineStr">
        <is>
          <t>签到列表响应</t>
        </is>
      </c>
      <c r="K132" s="54" t="inlineStr">
        <is>
          <t>签到记录列表、分页信息、总记录数</t>
        </is>
      </c>
      <c r="L132" s="53" t="inlineStr">
        <is>
          <t>新增</t>
        </is>
      </c>
      <c r="M132" s="55">
        <f>IF(L132="新增",1,IF(L132="复用",1/3,0))</f>
        <v/>
      </c>
    </row>
    <row r="133" ht="54" customHeight="1">
      <c r="A133" s="56" t="n"/>
      <c r="B133" s="56" t="n"/>
      <c r="C133" s="56" t="n"/>
      <c r="D133" s="56" t="n"/>
      <c r="E133" s="53" t="inlineStr">
        <is>
          <t>发起者：操作员
接收者：地市后台</t>
        </is>
      </c>
      <c r="F133" s="53" t="inlineStr">
        <is>
          <t>用户触发</t>
        </is>
      </c>
      <c r="G133" s="53" t="inlineStr">
        <is>
          <t>编辑签到奖品</t>
        </is>
      </c>
      <c r="H133" s="54" t="inlineStr">
        <is>
          <t>提交编辑后的奖品信息</t>
        </is>
      </c>
      <c r="I133" s="53" t="inlineStr">
        <is>
          <t>E</t>
        </is>
      </c>
      <c r="J133" s="54" t="inlineStr">
        <is>
          <t>编辑奖品请求</t>
        </is>
      </c>
      <c r="K133" s="54" t="inlineStr">
        <is>
          <t>奖品ID、奖品名称、奖品类型、库存数量、所需积分、有效期</t>
        </is>
      </c>
      <c r="L133" s="53" t="inlineStr">
        <is>
          <t>新增</t>
        </is>
      </c>
      <c r="M133" s="55">
        <f>IF(L133="新增",1,IF(L133="复用",1/3,0))</f>
        <v/>
      </c>
    </row>
    <row r="134" ht="54" customHeight="1">
      <c r="A134" s="56" t="n"/>
      <c r="B134" s="56" t="n"/>
      <c r="C134" s="56" t="n"/>
      <c r="D134" s="57" t="n"/>
      <c r="E134" s="57" t="n"/>
      <c r="F134" s="57" t="n"/>
      <c r="G134" s="57" t="n"/>
      <c r="H134" s="54" t="inlineStr">
        <is>
          <t>更新数据库中的签到奖品记录</t>
        </is>
      </c>
      <c r="I134" s="53" t="inlineStr">
        <is>
          <t>W</t>
        </is>
      </c>
      <c r="J134" s="54" t="inlineStr">
        <is>
          <t>签到奖品表</t>
        </is>
      </c>
      <c r="K134" s="54" t="inlineStr">
        <is>
          <t>奖品ID、奖品名称、奖品类型、库存数量、所需积分、有效期</t>
        </is>
      </c>
      <c r="L134" s="53" t="inlineStr">
        <is>
          <t>新增</t>
        </is>
      </c>
      <c r="M134" s="55">
        <f>IF(L134="新增",1,IF(L134="复用",1/3,0))</f>
        <v/>
      </c>
    </row>
    <row r="135" ht="54" customHeight="1">
      <c r="A135" s="56" t="n"/>
      <c r="B135" s="56" t="n"/>
      <c r="C135" s="56" t="n"/>
      <c r="D135" s="53" t="inlineStr">
        <is>
          <t>签到记录</t>
        </is>
      </c>
      <c r="E135" s="53" t="inlineStr">
        <is>
          <t>发起者：操作员
接收者：地市后台</t>
        </is>
      </c>
      <c r="F135" s="53" t="inlineStr">
        <is>
          <t>用户触发</t>
        </is>
      </c>
      <c r="G135" s="53" t="inlineStr">
        <is>
          <t>查询签到记录</t>
        </is>
      </c>
      <c r="H135" s="54" t="inlineStr">
        <is>
          <t>提交签到记录查询条件</t>
        </is>
      </c>
      <c r="I135" s="53" t="inlineStr">
        <is>
          <t>E</t>
        </is>
      </c>
      <c r="J135" s="54" t="inlineStr">
        <is>
          <t>签到记录查询请求</t>
        </is>
      </c>
      <c r="K135" s="54" t="inlineStr">
        <is>
          <t>签到人、签到时间范围、签到地点</t>
        </is>
      </c>
      <c r="L135" s="53" t="inlineStr">
        <is>
          <t>新增</t>
        </is>
      </c>
      <c r="M135" s="55">
        <f>IF(L135="新增",1,IF(L135="复用",1/3,0))</f>
        <v/>
      </c>
    </row>
    <row r="136" ht="54" customHeight="1">
      <c r="A136" s="56" t="n"/>
      <c r="B136" s="56" t="n"/>
      <c r="C136" s="56" t="n"/>
      <c r="D136" s="56" t="n"/>
      <c r="E136" s="56" t="n"/>
      <c r="F136" s="56" t="n"/>
      <c r="G136" s="56" t="n"/>
      <c r="H136" s="54" t="inlineStr">
        <is>
          <t>读取签到记录数据</t>
        </is>
      </c>
      <c r="I136" s="53" t="inlineStr">
        <is>
          <t>R</t>
        </is>
      </c>
      <c r="J136" s="54" t="inlineStr">
        <is>
          <t>签到记录表</t>
        </is>
      </c>
      <c r="K136" s="54" t="inlineStr">
        <is>
          <t>签到ID、签到人、签到时间、签到地点、签到状态</t>
        </is>
      </c>
      <c r="L136" s="53" t="inlineStr">
        <is>
          <t>新增</t>
        </is>
      </c>
      <c r="M136" s="55">
        <f>IF(L136="新增",1,IF(L136="复用",1/3,0))</f>
        <v/>
      </c>
    </row>
    <row r="137" ht="54" customHeight="1">
      <c r="A137" s="56" t="n"/>
      <c r="B137" s="56" t="n"/>
      <c r="C137" s="56" t="n"/>
      <c r="D137" s="56" t="n"/>
      <c r="E137" s="57" t="n"/>
      <c r="F137" s="57" t="n"/>
      <c r="G137" s="57" t="n"/>
      <c r="H137" s="54" t="inlineStr">
        <is>
          <t>返回签到记录列表</t>
        </is>
      </c>
      <c r="I137" s="53" t="inlineStr">
        <is>
          <t>X</t>
        </is>
      </c>
      <c r="J137" s="54" t="inlineStr">
        <is>
          <t>签到记录列表响应</t>
        </is>
      </c>
      <c r="K137" s="54" t="inlineStr">
        <is>
          <t>列表数据、分页信息、排序字段</t>
        </is>
      </c>
      <c r="L137" s="53" t="inlineStr">
        <is>
          <t>新增</t>
        </is>
      </c>
      <c r="M137" s="55">
        <f>IF(L137="新增",1,IF(L137="复用",1/3,0))</f>
        <v/>
      </c>
    </row>
    <row r="138" ht="54" customHeight="1">
      <c r="A138" s="56" t="n"/>
      <c r="B138" s="56" t="n"/>
      <c r="C138" s="56" t="n"/>
      <c r="D138" s="56" t="n"/>
      <c r="E138" s="53" t="inlineStr">
        <is>
          <t>发起者：操作员
接收者：地市后台</t>
        </is>
      </c>
      <c r="F138" s="53" t="inlineStr">
        <is>
          <t>用户触发</t>
        </is>
      </c>
      <c r="G138" s="53" t="inlineStr">
        <is>
          <t>导出签到记录</t>
        </is>
      </c>
      <c r="H138" s="54" t="inlineStr">
        <is>
          <t>提交导出签到记录请求</t>
        </is>
      </c>
      <c r="I138" s="53" t="inlineStr">
        <is>
          <t>E</t>
        </is>
      </c>
      <c r="J138" s="54" t="inlineStr">
        <is>
          <t>导出请求参数</t>
        </is>
      </c>
      <c r="K138" s="54" t="inlineStr">
        <is>
          <t>签到人、时间范围、文件格式</t>
        </is>
      </c>
      <c r="L138" s="53" t="inlineStr">
        <is>
          <t>新增</t>
        </is>
      </c>
      <c r="M138" s="55">
        <f>IF(L138="新增",1,IF(L138="复用",1/3,0))</f>
        <v/>
      </c>
    </row>
    <row r="139" ht="54" customHeight="1">
      <c r="A139" s="56" t="n"/>
      <c r="B139" s="56" t="n"/>
      <c r="C139" s="56" t="n"/>
      <c r="D139" s="56" t="n"/>
      <c r="E139" s="56" t="n"/>
      <c r="F139" s="56" t="n"/>
      <c r="G139" s="56" t="n"/>
      <c r="H139" s="54" t="inlineStr">
        <is>
          <t>读取签到记录数据</t>
        </is>
      </c>
      <c r="I139" s="53" t="inlineStr">
        <is>
          <t>R</t>
        </is>
      </c>
      <c r="J139" s="54" t="inlineStr">
        <is>
          <t>签到记录表</t>
        </is>
      </c>
      <c r="K139" s="54" t="inlineStr">
        <is>
          <t>签到ID、签到人、签到时间、签到地点、签到状态</t>
        </is>
      </c>
      <c r="L139" s="53" t="inlineStr">
        <is>
          <t>新增</t>
        </is>
      </c>
      <c r="M139" s="55">
        <f>IF(L139="新增",1,IF(L139="复用",1/3,0))</f>
        <v/>
      </c>
    </row>
    <row r="140" ht="54" customHeight="1">
      <c r="A140" s="56" t="n"/>
      <c r="B140" s="56" t="n"/>
      <c r="C140" s="57" t="n"/>
      <c r="D140" s="57" t="n"/>
      <c r="E140" s="57" t="n"/>
      <c r="F140" s="57" t="n"/>
      <c r="G140" s="57" t="n"/>
      <c r="H140" s="54" t="inlineStr">
        <is>
          <t>生成并返回导出文件</t>
        </is>
      </c>
      <c r="I140" s="53" t="inlineStr">
        <is>
          <t>X</t>
        </is>
      </c>
      <c r="J140" s="54" t="inlineStr">
        <is>
          <t>导出文件</t>
        </is>
      </c>
      <c r="K140" s="54" t="inlineStr">
        <is>
          <t>文件名称、文件格式、文件内容</t>
        </is>
      </c>
      <c r="L140" s="53" t="inlineStr">
        <is>
          <t>新增</t>
        </is>
      </c>
      <c r="M140" s="55">
        <f>IF(L140="新增",1,IF(L140="复用",1/3,0))</f>
        <v/>
      </c>
    </row>
    <row r="141" ht="54" customHeight="1">
      <c r="A141" s="56" t="n"/>
      <c r="B141" s="56" t="n"/>
      <c r="C141" s="53" t="inlineStr">
        <is>
          <t>订单管理</t>
        </is>
      </c>
      <c r="D141" s="53" t="inlineStr">
        <is>
          <t>卡券订单</t>
        </is>
      </c>
      <c r="E141" s="53" t="inlineStr">
        <is>
          <t>发起者：操作员
接收者：地市后台</t>
        </is>
      </c>
      <c r="F141" s="53" t="inlineStr">
        <is>
          <t>用户触发</t>
        </is>
      </c>
      <c r="G141" s="53" t="inlineStr">
        <is>
          <t>搜索卡券订单</t>
        </is>
      </c>
      <c r="H141" s="54" t="inlineStr">
        <is>
          <t>输入搜索条件</t>
        </is>
      </c>
      <c r="I141" s="53" t="inlineStr">
        <is>
          <t>E</t>
        </is>
      </c>
      <c r="J141" s="54" t="inlineStr">
        <is>
          <t>卡券订单搜索请求</t>
        </is>
      </c>
      <c r="K141" s="54" t="inlineStr">
        <is>
          <t>订单编号、客户手机号、订单状态、下单时间范围</t>
        </is>
      </c>
      <c r="L141" s="53" t="inlineStr">
        <is>
          <t>新增</t>
        </is>
      </c>
      <c r="M141" s="55">
        <f>IF(L141="新增",1,IF(L141="复用",1/3,0))</f>
        <v/>
      </c>
    </row>
    <row r="142" ht="54" customHeight="1">
      <c r="A142" s="56" t="n"/>
      <c r="B142" s="56" t="n"/>
      <c r="C142" s="56" t="n"/>
      <c r="D142" s="56" t="n"/>
      <c r="E142" s="56" t="n"/>
      <c r="F142" s="56" t="n"/>
      <c r="G142" s="56" t="n"/>
      <c r="H142" s="54" t="inlineStr">
        <is>
          <t>读取符合条件的卡券订单数据</t>
        </is>
      </c>
      <c r="I142" s="53" t="inlineStr">
        <is>
          <t>R</t>
        </is>
      </c>
      <c r="J142" s="54" t="inlineStr">
        <is>
          <t>卡券订单列表</t>
        </is>
      </c>
      <c r="K142" s="54" t="inlineStr">
        <is>
          <t>订单ID、卡券名称、面值、数量、订单金额、状态、创建时间</t>
        </is>
      </c>
      <c r="L142" s="53" t="inlineStr">
        <is>
          <t>新增</t>
        </is>
      </c>
      <c r="M142" s="55">
        <f>IF(L142="新增",1,IF(L142="复用",1/3,0))</f>
        <v/>
      </c>
    </row>
    <row r="143" ht="54" customHeight="1">
      <c r="A143" s="56" t="n"/>
      <c r="B143" s="56" t="n"/>
      <c r="C143" s="56" t="n"/>
      <c r="D143" s="56" t="n"/>
      <c r="E143" s="57" t="n"/>
      <c r="F143" s="57" t="n"/>
      <c r="G143" s="57" t="n"/>
      <c r="H143" s="54" t="inlineStr">
        <is>
          <t>展示卡券订单列表</t>
        </is>
      </c>
      <c r="I143" s="53" t="inlineStr">
        <is>
          <t>X</t>
        </is>
      </c>
      <c r="J143" s="54" t="inlineStr">
        <is>
          <t>卡券订单列表展示</t>
        </is>
      </c>
      <c r="K143" s="54" t="inlineStr">
        <is>
          <t>订单编号、卡券名称、面值、数量、实付金额、状态、下单时间</t>
        </is>
      </c>
      <c r="L143" s="53" t="inlineStr">
        <is>
          <t>新增</t>
        </is>
      </c>
      <c r="M143" s="55">
        <f>IF(L143="新增",1,IF(L143="复用",1/3,0))</f>
        <v/>
      </c>
    </row>
    <row r="144" ht="54" customHeight="1">
      <c r="A144" s="56" t="n"/>
      <c r="B144" s="56" t="n"/>
      <c r="C144" s="56" t="n"/>
      <c r="D144" s="56" t="n"/>
      <c r="E144" s="53" t="inlineStr">
        <is>
          <t>发起者：操作员
接收者：地市后台</t>
        </is>
      </c>
      <c r="F144" s="53" t="inlineStr">
        <is>
          <t>用户触发</t>
        </is>
      </c>
      <c r="G144" s="53" t="inlineStr">
        <is>
          <t>导出卡券订单</t>
        </is>
      </c>
      <c r="H144" s="54" t="inlineStr">
        <is>
          <t>提交导出请求及筛选条件</t>
        </is>
      </c>
      <c r="I144" s="53" t="inlineStr">
        <is>
          <t>E</t>
        </is>
      </c>
      <c r="J144" s="54" t="inlineStr">
        <is>
          <t>导出请求参数</t>
        </is>
      </c>
      <c r="K144" s="54" t="inlineStr">
        <is>
          <t>导出文件格式、订单状态、下单时间范围、用户标识</t>
        </is>
      </c>
      <c r="L144" s="53" t="inlineStr">
        <is>
          <t>新增</t>
        </is>
      </c>
      <c r="M144" s="55">
        <f>IF(L144="新增",1,IF(L144="复用",1/3,0))</f>
        <v/>
      </c>
    </row>
    <row r="145" ht="54" customHeight="1">
      <c r="A145" s="56" t="n"/>
      <c r="B145" s="56" t="n"/>
      <c r="C145" s="56" t="n"/>
      <c r="D145" s="56" t="n"/>
      <c r="E145" s="56" t="n"/>
      <c r="F145" s="56" t="n"/>
      <c r="G145" s="56" t="n"/>
      <c r="H145" s="54" t="inlineStr">
        <is>
          <t>读取待导出的订单数据</t>
        </is>
      </c>
      <c r="I145" s="53" t="inlineStr">
        <is>
          <t>R</t>
        </is>
      </c>
      <c r="J145" s="54" t="inlineStr">
        <is>
          <t>卡券订单导出数据集</t>
        </is>
      </c>
      <c r="K145" s="54" t="inlineStr">
        <is>
          <t>订单ID、卡券编码、客户账号、面额、数量、支付金额、状态、下单时间</t>
        </is>
      </c>
      <c r="L145" s="53" t="inlineStr">
        <is>
          <t>新增</t>
        </is>
      </c>
      <c r="M145" s="55">
        <f>IF(L145="新增",1,IF(L145="复用",1/3,0))</f>
        <v/>
      </c>
    </row>
    <row r="146" ht="54" customHeight="1">
      <c r="A146" s="56" t="n"/>
      <c r="B146" s="56" t="n"/>
      <c r="C146" s="56" t="n"/>
      <c r="D146" s="57" t="n"/>
      <c r="E146" s="57" t="n"/>
      <c r="F146" s="57" t="n"/>
      <c r="G146" s="57" t="n"/>
      <c r="H146" s="54" t="inlineStr">
        <is>
          <t>生成并提供导出文件下载</t>
        </is>
      </c>
      <c r="I146" s="53" t="inlineStr">
        <is>
          <t>X</t>
        </is>
      </c>
      <c r="J146" s="54" t="inlineStr">
        <is>
          <t>导出文件</t>
        </is>
      </c>
      <c r="K146" s="54" t="inlineStr">
        <is>
          <t>文件流、文件名、文件格式、下载链接</t>
        </is>
      </c>
      <c r="L146" s="53" t="inlineStr">
        <is>
          <t>新增</t>
        </is>
      </c>
      <c r="M146" s="55">
        <f>IF(L146="新增",1,IF(L146="复用",1/3,0))</f>
        <v/>
      </c>
    </row>
    <row r="147" ht="54" customHeight="1">
      <c r="A147" s="56" t="n"/>
      <c r="B147" s="56" t="n"/>
      <c r="C147" s="56" t="n"/>
      <c r="D147" s="53" t="inlineStr">
        <is>
          <t>业务订单</t>
        </is>
      </c>
      <c r="E147" s="53" t="inlineStr">
        <is>
          <t>发起者：操作员
接收者：地市后台</t>
        </is>
      </c>
      <c r="F147" s="53" t="inlineStr">
        <is>
          <t>用户触发</t>
        </is>
      </c>
      <c r="G147" s="53" t="inlineStr">
        <is>
          <t>导出业务订单</t>
        </is>
      </c>
      <c r="H147" s="54" t="inlineStr">
        <is>
          <t>点击导出按钮提交导出请求</t>
        </is>
      </c>
      <c r="I147" s="53" t="inlineStr">
        <is>
          <t>E</t>
        </is>
      </c>
      <c r="J147" s="54" t="inlineStr">
        <is>
          <t>导出请求参数</t>
        </is>
      </c>
      <c r="K147" s="54" t="inlineStr">
        <is>
          <t>导出类型、筛选条件、用户信息</t>
        </is>
      </c>
      <c r="L147" s="53" t="inlineStr">
        <is>
          <t>新增</t>
        </is>
      </c>
      <c r="M147" s="55">
        <f>IF(L147="新增",1,IF(L147="复用",1/3,0))</f>
        <v/>
      </c>
    </row>
    <row r="148" ht="54" customHeight="1">
      <c r="A148" s="56" t="n"/>
      <c r="B148" s="56" t="n"/>
      <c r="C148" s="56" t="n"/>
      <c r="D148" s="56" t="n"/>
      <c r="E148" s="56" t="n"/>
      <c r="F148" s="56" t="n"/>
      <c r="G148" s="56" t="n"/>
      <c r="H148" s="54" t="inlineStr">
        <is>
          <t>读取待导出的业务订单数据</t>
        </is>
      </c>
      <c r="I148" s="53" t="inlineStr">
        <is>
          <t>R</t>
        </is>
      </c>
      <c r="J148" s="54" t="inlineStr">
        <is>
          <t>业务订单数据表</t>
        </is>
      </c>
      <c r="K148" s="54" t="inlineStr">
        <is>
          <t>订单编号、客户名称、产品名称、订单金额、订单状态、下单时间、分销员ID</t>
        </is>
      </c>
      <c r="L148" s="53" t="inlineStr">
        <is>
          <t>新增</t>
        </is>
      </c>
      <c r="M148" s="55">
        <f>IF(L148="新增",1,IF(L148="复用",1/3,0))</f>
        <v/>
      </c>
    </row>
    <row r="149" ht="54" customHeight="1">
      <c r="A149" s="56" t="n"/>
      <c r="B149" s="56" t="n"/>
      <c r="C149" s="56" t="n"/>
      <c r="D149" s="56" t="n"/>
      <c r="E149" s="57" t="n"/>
      <c r="F149" s="57" t="n"/>
      <c r="G149" s="57" t="n"/>
      <c r="H149" s="54" t="inlineStr">
        <is>
          <t>生成导出文件并返回下载链接</t>
        </is>
      </c>
      <c r="I149" s="53" t="inlineStr">
        <is>
          <t>X</t>
        </is>
      </c>
      <c r="J149" s="54" t="inlineStr">
        <is>
          <t>导出文件信息</t>
        </is>
      </c>
      <c r="K149" s="54" t="inlineStr">
        <is>
          <t>文件格式、文件路径、文件名</t>
        </is>
      </c>
      <c r="L149" s="53" t="inlineStr">
        <is>
          <t>新增</t>
        </is>
      </c>
      <c r="M149" s="55">
        <f>IF(L149="新增",1,IF(L149="复用",1/3,0))</f>
        <v/>
      </c>
    </row>
    <row r="150" ht="54" customHeight="1">
      <c r="A150" s="56" t="n"/>
      <c r="B150" s="56" t="n"/>
      <c r="C150" s="56" t="n"/>
      <c r="D150" s="56" t="n"/>
      <c r="E150" s="53" t="inlineStr">
        <is>
          <t>发起者：操作员
接收者：地市后台</t>
        </is>
      </c>
      <c r="F150" s="53" t="inlineStr">
        <is>
          <t>用户触发</t>
        </is>
      </c>
      <c r="G150" s="53" t="inlineStr">
        <is>
          <t>搜索业务订单</t>
        </is>
      </c>
      <c r="H150" s="54" t="inlineStr">
        <is>
          <t>提交业务订单搜索条件</t>
        </is>
      </c>
      <c r="I150" s="53" t="inlineStr">
        <is>
          <t>E</t>
        </is>
      </c>
      <c r="J150" s="54" t="inlineStr">
        <is>
          <t>搜索条件参数</t>
        </is>
      </c>
      <c r="K150" s="54" t="inlineStr">
        <is>
          <t>搜索关键字、订单状态、下单时间范围、分页信息</t>
        </is>
      </c>
      <c r="L150" s="53" t="inlineStr">
        <is>
          <t>新增</t>
        </is>
      </c>
      <c r="M150" s="55">
        <f>IF(L150="新增",1,IF(L150="复用",1/3,0))</f>
        <v/>
      </c>
    </row>
    <row r="151" ht="54" customHeight="1">
      <c r="A151" s="56" t="n"/>
      <c r="B151" s="56" t="n"/>
      <c r="C151" s="56" t="n"/>
      <c r="D151" s="56" t="n"/>
      <c r="E151" s="56" t="n"/>
      <c r="F151" s="56" t="n"/>
      <c r="G151" s="56" t="n"/>
      <c r="H151" s="54" t="inlineStr">
        <is>
          <t>读取匹配条件的业务订单数据</t>
        </is>
      </c>
      <c r="I151" s="53" t="inlineStr">
        <is>
          <t>R</t>
        </is>
      </c>
      <c r="J151" s="54" t="inlineStr">
        <is>
          <t>业务订单数据表</t>
        </is>
      </c>
      <c r="K151" s="54" t="inlineStr">
        <is>
          <t>订单编号、客户名称、产品名称、订单金额、订单状态、下单时间</t>
        </is>
      </c>
      <c r="L151" s="53" t="inlineStr">
        <is>
          <t>新增</t>
        </is>
      </c>
      <c r="M151" s="55">
        <f>IF(L151="新增",1,IF(L151="复用",1/3,0))</f>
        <v/>
      </c>
    </row>
    <row r="152" ht="54" customHeight="1">
      <c r="A152" s="56" t="n"/>
      <c r="B152" s="56" t="n"/>
      <c r="C152" s="56" t="n"/>
      <c r="D152" s="56" t="n"/>
      <c r="E152" s="57" t="n"/>
      <c r="F152" s="57" t="n"/>
      <c r="G152" s="57" t="n"/>
      <c r="H152" s="54" t="inlineStr">
        <is>
          <t>返回业务订单列表及分页信息</t>
        </is>
      </c>
      <c r="I152" s="53" t="inlineStr">
        <is>
          <t>X</t>
        </is>
      </c>
      <c r="J152" s="54" t="inlineStr">
        <is>
          <t>业务订单列表响应</t>
        </is>
      </c>
      <c r="K152" s="54" t="inlineStr">
        <is>
          <t>订单信息列表、总条数、当前页码、每页条数</t>
        </is>
      </c>
      <c r="L152" s="53" t="inlineStr">
        <is>
          <t>新增</t>
        </is>
      </c>
      <c r="M152" s="55">
        <f>IF(L152="新增",1,IF(L152="复用",1/3,0))</f>
        <v/>
      </c>
    </row>
    <row r="153" ht="54" customHeight="1">
      <c r="A153" s="56" t="n"/>
      <c r="B153" s="56" t="n"/>
      <c r="C153" s="56" t="n"/>
      <c r="D153" s="56" t="n"/>
      <c r="E153" s="53" t="inlineStr">
        <is>
          <t>发起者：操作员
接收者：地市后台</t>
        </is>
      </c>
      <c r="F153" s="53" t="inlineStr">
        <is>
          <t>用户触发</t>
        </is>
      </c>
      <c r="G153" s="53" t="inlineStr">
        <is>
          <t>查询分销员销售的业务订单</t>
        </is>
      </c>
      <c r="H153" s="54" t="inlineStr">
        <is>
          <t>选择分销员并提交查询请求</t>
        </is>
      </c>
      <c r="I153" s="53" t="inlineStr">
        <is>
          <t>E</t>
        </is>
      </c>
      <c r="J153" s="54" t="inlineStr">
        <is>
          <t>分销员查询参数</t>
        </is>
      </c>
      <c r="K153" s="54" t="inlineStr">
        <is>
          <t>分销员ID、查询时间范围、订单状态筛选、分页参数</t>
        </is>
      </c>
      <c r="L153" s="53" t="inlineStr">
        <is>
          <t>新增</t>
        </is>
      </c>
      <c r="M153" s="55">
        <f>IF(L153="新增",1,IF(L153="复用",1/3,0))</f>
        <v/>
      </c>
    </row>
    <row r="154" ht="54" customHeight="1">
      <c r="A154" s="56" t="n"/>
      <c r="B154" s="56" t="n"/>
      <c r="C154" s="56" t="n"/>
      <c r="D154" s="56" t="n"/>
      <c r="E154" s="56" t="n"/>
      <c r="F154" s="56" t="n"/>
      <c r="G154" s="56" t="n"/>
      <c r="H154" s="54" t="inlineStr">
        <is>
          <t>读取该分销员相关的业务订单数据</t>
        </is>
      </c>
      <c r="I154" s="53" t="inlineStr">
        <is>
          <t>R</t>
        </is>
      </c>
      <c r="J154" s="54" t="inlineStr">
        <is>
          <t>业务订单数据表</t>
        </is>
      </c>
      <c r="K154" s="54" t="inlineStr">
        <is>
          <t>订单编号、客户名称、产品名称、订单金额、佣金金额、下单时间、订单状态</t>
        </is>
      </c>
      <c r="L154" s="53" t="inlineStr">
        <is>
          <t>新增</t>
        </is>
      </c>
      <c r="M154" s="55">
        <f>IF(L154="新增",1,IF(L154="复用",1/3,0))</f>
        <v/>
      </c>
    </row>
    <row r="155" ht="54" customHeight="1">
      <c r="A155" s="56" t="n"/>
      <c r="B155" s="57" t="n"/>
      <c r="C155" s="57" t="n"/>
      <c r="D155" s="57" t="n"/>
      <c r="E155" s="57" t="n"/>
      <c r="F155" s="57" t="n"/>
      <c r="G155" s="57" t="n"/>
      <c r="H155" s="54" t="inlineStr">
        <is>
          <t>返回分销员业务订单列表及汇总信息</t>
        </is>
      </c>
      <c r="I155" s="53" t="inlineStr">
        <is>
          <t>X</t>
        </is>
      </c>
      <c r="J155" s="54" t="inlineStr">
        <is>
          <t>分销员订单列表响应</t>
        </is>
      </c>
      <c r="K155" s="54" t="inlineStr">
        <is>
          <t>订单列表、总销售额、总佣金、订单总数</t>
        </is>
      </c>
      <c r="L155" s="53" t="inlineStr">
        <is>
          <t>新增</t>
        </is>
      </c>
      <c r="M155" s="55">
        <f>IF(L155="新增",1,IF(L155="复用",1/3,0))</f>
        <v/>
      </c>
    </row>
    <row r="156" ht="54" customHeight="1">
      <c r="A156" s="56" t="n"/>
      <c r="B156" s="53" t="inlineStr">
        <is>
          <t>用户前台</t>
        </is>
      </c>
      <c r="C156" s="53" t="inlineStr">
        <is>
          <t>活动前台</t>
        </is>
      </c>
      <c r="D156" s="53" t="inlineStr">
        <is>
          <t>垂直行业登录页</t>
        </is>
      </c>
      <c r="E156" s="53" t="inlineStr">
        <is>
          <t>发起者：用户
接收者：活动前台</t>
        </is>
      </c>
      <c r="F156" s="53" t="inlineStr">
        <is>
          <t>用户触发</t>
        </is>
      </c>
      <c r="G156" s="53" t="inlineStr">
        <is>
          <t>登录页面</t>
        </is>
      </c>
      <c r="H156" s="54" t="inlineStr">
        <is>
          <t>提交登录请求（手机号与验证码）</t>
        </is>
      </c>
      <c r="I156" s="53" t="inlineStr">
        <is>
          <t>E</t>
        </is>
      </c>
      <c r="J156" s="54" t="inlineStr">
        <is>
          <t>登录请求</t>
        </is>
      </c>
      <c r="K156" s="54" t="inlineStr">
        <is>
          <t>手机号、验证码、登录时间</t>
        </is>
      </c>
      <c r="L156" s="53" t="inlineStr">
        <is>
          <t>新增</t>
        </is>
      </c>
      <c r="M156" s="55">
        <f>IF(L156="新增",1,IF(L156="复用",1/3,0))</f>
        <v/>
      </c>
    </row>
    <row r="157" ht="54" customHeight="1">
      <c r="A157" s="56" t="n"/>
      <c r="B157" s="56" t="n"/>
      <c r="C157" s="56" t="n"/>
      <c r="D157" s="56" t="n"/>
      <c r="E157" s="56" t="n"/>
      <c r="F157" s="56" t="n"/>
      <c r="G157" s="56" t="n"/>
      <c r="H157" s="54" t="inlineStr">
        <is>
          <t>读取验证码校验信息</t>
        </is>
      </c>
      <c r="I157" s="53" t="inlineStr">
        <is>
          <t>R</t>
        </is>
      </c>
      <c r="J157" s="54" t="inlineStr">
        <is>
          <t>验证码存储</t>
        </is>
      </c>
      <c r="K157" s="54" t="inlineStr">
        <is>
          <t>手机号、验证码、过期时间</t>
        </is>
      </c>
      <c r="L157" s="53" t="inlineStr">
        <is>
          <t>新增</t>
        </is>
      </c>
      <c r="M157" s="55">
        <f>IF(L157="新增",1,IF(L157="复用",1/3,0))</f>
        <v/>
      </c>
    </row>
    <row r="158" ht="54" customHeight="1">
      <c r="A158" s="56" t="n"/>
      <c r="B158" s="56" t="n"/>
      <c r="C158" s="56" t="n"/>
      <c r="D158" s="56" t="n"/>
      <c r="E158" s="56" t="n"/>
      <c r="F158" s="56" t="n"/>
      <c r="G158" s="56" t="n"/>
      <c r="H158" s="54" t="inlineStr">
        <is>
          <t>记录用户登录状态</t>
        </is>
      </c>
      <c r="I158" s="53" t="inlineStr">
        <is>
          <t>W</t>
        </is>
      </c>
      <c r="J158" s="54" t="inlineStr">
        <is>
          <t>登录记录</t>
        </is>
      </c>
      <c r="K158" s="54" t="inlineStr">
        <is>
          <t>用户ID、登录时间、IP地址</t>
        </is>
      </c>
      <c r="L158" s="53" t="inlineStr">
        <is>
          <t>新增</t>
        </is>
      </c>
      <c r="M158" s="55">
        <f>IF(L158="新增",1,IF(L158="复用",1/3,0))</f>
        <v/>
      </c>
    </row>
    <row r="159" ht="54" customHeight="1">
      <c r="A159" s="56" t="n"/>
      <c r="B159" s="56" t="n"/>
      <c r="C159" s="56" t="n"/>
      <c r="D159" s="57" t="n"/>
      <c r="E159" s="57" t="n"/>
      <c r="F159" s="57" t="n"/>
      <c r="G159" s="57" t="n"/>
      <c r="H159" s="54" t="inlineStr">
        <is>
          <t>返回登录成功结果</t>
        </is>
      </c>
      <c r="I159" s="53" t="inlineStr">
        <is>
          <t>X</t>
        </is>
      </c>
      <c r="J159" s="54" t="inlineStr">
        <is>
          <t>登录响应</t>
        </is>
      </c>
      <c r="K159" s="54" t="inlineStr">
        <is>
          <t>用户信息、token、登录状态</t>
        </is>
      </c>
      <c r="L159" s="53" t="inlineStr">
        <is>
          <t>新增</t>
        </is>
      </c>
      <c r="M159" s="55">
        <f>IF(L159="新增",1,IF(L159="复用",1/3,0))</f>
        <v/>
      </c>
    </row>
    <row r="160" ht="54" customHeight="1">
      <c r="A160" s="56" t="n"/>
      <c r="B160" s="56" t="n"/>
      <c r="C160" s="56" t="n"/>
      <c r="D160" s="53" t="inlineStr">
        <is>
          <t>首页</t>
        </is>
      </c>
      <c r="E160" s="53" t="inlineStr">
        <is>
          <t>发起者：操作员
接收者：地市后台</t>
        </is>
      </c>
      <c r="F160" s="53" t="inlineStr">
        <is>
          <t>用户触发</t>
        </is>
      </c>
      <c r="G160" s="53" t="inlineStr">
        <is>
          <t>首页装修页面渲染展示</t>
        </is>
      </c>
      <c r="H160" s="54" t="inlineStr">
        <is>
          <t>请求首页装修页面数据</t>
        </is>
      </c>
      <c r="I160" s="53" t="inlineStr">
        <is>
          <t>E</t>
        </is>
      </c>
      <c r="J160" s="54" t="inlineStr">
        <is>
          <t>装修页面请求</t>
        </is>
      </c>
      <c r="K160" s="54" t="inlineStr">
        <is>
          <t>用户标识、页面版本、设备信息</t>
        </is>
      </c>
      <c r="L160" s="53" t="inlineStr">
        <is>
          <t>新增</t>
        </is>
      </c>
      <c r="M160" s="55">
        <f>IF(L160="新增",1,IF(L160="复用",1/3,0))</f>
        <v/>
      </c>
    </row>
    <row r="161" ht="54" customHeight="1">
      <c r="A161" s="56" t="n"/>
      <c r="B161" s="56" t="n"/>
      <c r="C161" s="56" t="n"/>
      <c r="D161" s="56" t="n"/>
      <c r="E161" s="56" t="n"/>
      <c r="F161" s="56" t="n"/>
      <c r="G161" s="56" t="n"/>
      <c r="H161" s="54" t="inlineStr">
        <is>
          <t>读取首页装修配置数据</t>
        </is>
      </c>
      <c r="I161" s="53" t="inlineStr">
        <is>
          <t>R</t>
        </is>
      </c>
      <c r="J161" s="54" t="inlineStr">
        <is>
          <t>首页装修配置表</t>
        </is>
      </c>
      <c r="K161" s="54" t="inlineStr">
        <is>
          <t>页面ID、组件ID、组件类型、组件配置、排序位置</t>
        </is>
      </c>
      <c r="L161" s="53" t="inlineStr">
        <is>
          <t>新增</t>
        </is>
      </c>
      <c r="M161" s="55">
        <f>IF(L161="新增",1,IF(L161="复用",1/3,0))</f>
        <v/>
      </c>
    </row>
    <row r="162" ht="54" customHeight="1">
      <c r="A162" s="57" t="n"/>
      <c r="B162" s="57" t="n"/>
      <c r="C162" s="57" t="n"/>
      <c r="D162" s="57" t="n"/>
      <c r="E162" s="57" t="n"/>
      <c r="F162" s="57" t="n"/>
      <c r="G162" s="57" t="n"/>
      <c r="H162" s="54" t="inlineStr">
        <is>
          <t>返回首页装修页面</t>
        </is>
      </c>
      <c r="I162" s="53" t="inlineStr">
        <is>
          <t>X</t>
        </is>
      </c>
      <c r="J162" s="54" t="inlineStr">
        <is>
          <t>装修页面响应</t>
        </is>
      </c>
      <c r="K162" s="54" t="inlineStr">
        <is>
          <t>页面布局数据、组件列表、样式配置</t>
        </is>
      </c>
      <c r="L162" s="53" t="inlineStr">
        <is>
          <t>新增</t>
        </is>
      </c>
      <c r="M162" s="55">
        <f>IF(L162="新增",1,IF(L162="复用",1/3,0))</f>
        <v/>
      </c>
    </row>
    <row r="163">
      <c r="A163" s="45" t="inlineStr">
        <is>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is>
      </c>
    </row>
    <row r="164"/>
  </sheetData>
  <mergeCells count="221">
    <mergeCell ref="L2:M2"/>
    <mergeCell ref="F118:F119"/>
    <mergeCell ref="E8:E9"/>
    <mergeCell ref="F133:F134"/>
    <mergeCell ref="G8:G9"/>
    <mergeCell ref="L3:L4"/>
    <mergeCell ref="E95:E97"/>
    <mergeCell ref="G95:G97"/>
    <mergeCell ref="F3:F4"/>
    <mergeCell ref="D147:D155"/>
    <mergeCell ref="E63:E64"/>
    <mergeCell ref="G120:G121"/>
    <mergeCell ref="E156:E159"/>
    <mergeCell ref="E32:E34"/>
    <mergeCell ref="F111:F113"/>
    <mergeCell ref="G150:G152"/>
    <mergeCell ref="B6:B155"/>
    <mergeCell ref="F18:F19"/>
    <mergeCell ref="G32:G34"/>
    <mergeCell ref="G153:G155"/>
    <mergeCell ref="F92:F94"/>
    <mergeCell ref="E65:E66"/>
    <mergeCell ref="G65:G66"/>
    <mergeCell ref="G3:G4"/>
    <mergeCell ref="I3:I4"/>
    <mergeCell ref="F29:F31"/>
    <mergeCell ref="F103:F105"/>
    <mergeCell ref="G18:G19"/>
    <mergeCell ref="E58:E60"/>
    <mergeCell ref="E76:E77"/>
    <mergeCell ref="F13:F14"/>
    <mergeCell ref="D141:D146"/>
    <mergeCell ref="G76:G77"/>
    <mergeCell ref="D135:D140"/>
    <mergeCell ref="G67:G69"/>
    <mergeCell ref="E73:E75"/>
    <mergeCell ref="F15:F17"/>
    <mergeCell ref="E41:E42"/>
    <mergeCell ref="F120:F121"/>
    <mergeCell ref="F24:F26"/>
    <mergeCell ref="F80:F82"/>
    <mergeCell ref="G41:G42"/>
    <mergeCell ref="D160:D162"/>
    <mergeCell ref="F89:F91"/>
    <mergeCell ref="C58:C88"/>
    <mergeCell ref="D58:D72"/>
    <mergeCell ref="E35:E37"/>
    <mergeCell ref="G22:G23"/>
    <mergeCell ref="F70:F72"/>
    <mergeCell ref="F144:F146"/>
    <mergeCell ref="F153:F155"/>
    <mergeCell ref="C156:C162"/>
    <mergeCell ref="F98:F99"/>
    <mergeCell ref="E108:E110"/>
    <mergeCell ref="F63:F64"/>
    <mergeCell ref="G108:G110"/>
    <mergeCell ref="G55:G57"/>
    <mergeCell ref="F130:F132"/>
    <mergeCell ref="G92:G94"/>
    <mergeCell ref="D43:D45"/>
    <mergeCell ref="E13:E14"/>
    <mergeCell ref="F43:F45"/>
    <mergeCell ref="E86:E88"/>
    <mergeCell ref="F52:F54"/>
    <mergeCell ref="E78:E79"/>
    <mergeCell ref="G13:G14"/>
    <mergeCell ref="G29:G31"/>
    <mergeCell ref="G78:G79"/>
    <mergeCell ref="F20:F21"/>
    <mergeCell ref="F49:F51"/>
    <mergeCell ref="E128:E129"/>
    <mergeCell ref="C106:C119"/>
    <mergeCell ref="G128:G129"/>
    <mergeCell ref="E144:E146"/>
    <mergeCell ref="G135:G137"/>
    <mergeCell ref="G144:G146"/>
    <mergeCell ref="D35:D37"/>
    <mergeCell ref="F22:F23"/>
    <mergeCell ref="E125:E127"/>
    <mergeCell ref="E27:E28"/>
    <mergeCell ref="E120:E121"/>
    <mergeCell ref="G114:G115"/>
    <mergeCell ref="G63:G64"/>
    <mergeCell ref="G70:G72"/>
    <mergeCell ref="E141:E143"/>
    <mergeCell ref="F61:F62"/>
    <mergeCell ref="D156:D159"/>
    <mergeCell ref="E24:E26"/>
    <mergeCell ref="E38:E40"/>
    <mergeCell ref="D6:D21"/>
    <mergeCell ref="E147:E149"/>
    <mergeCell ref="G38:G40"/>
    <mergeCell ref="D46:D48"/>
    <mergeCell ref="E106:E107"/>
    <mergeCell ref="G106:G107"/>
    <mergeCell ref="E153:E155"/>
    <mergeCell ref="B156:B162"/>
    <mergeCell ref="G27:G28"/>
    <mergeCell ref="K3:K4"/>
    <mergeCell ref="E49:E51"/>
    <mergeCell ref="F86:F88"/>
    <mergeCell ref="G147:G149"/>
    <mergeCell ref="F95:F97"/>
    <mergeCell ref="E3:E4"/>
    <mergeCell ref="E10:E12"/>
    <mergeCell ref="F135:F137"/>
    <mergeCell ref="F160:F162"/>
    <mergeCell ref="F122:F124"/>
    <mergeCell ref="C120:C140"/>
    <mergeCell ref="D32:D34"/>
    <mergeCell ref="F150:F152"/>
    <mergeCell ref="F32:F34"/>
    <mergeCell ref="D106:D119"/>
    <mergeCell ref="G61:G62"/>
    <mergeCell ref="G83:G85"/>
    <mergeCell ref="F65:F66"/>
    <mergeCell ref="F38:F40"/>
    <mergeCell ref="E20:E21"/>
    <mergeCell ref="C6:C57"/>
    <mergeCell ref="G116:G117"/>
    <mergeCell ref="G138:G140"/>
    <mergeCell ref="F58:F60"/>
    <mergeCell ref="F76:F77"/>
    <mergeCell ref="F67:F69"/>
    <mergeCell ref="E100:E102"/>
    <mergeCell ref="E118:E119"/>
    <mergeCell ref="G100:G102"/>
    <mergeCell ref="G118:G119"/>
    <mergeCell ref="F8:F9"/>
    <mergeCell ref="F73:F75"/>
    <mergeCell ref="M3:M4"/>
    <mergeCell ref="G156:G159"/>
    <mergeCell ref="G6:G7"/>
    <mergeCell ref="F147:F149"/>
    <mergeCell ref="D38:D42"/>
    <mergeCell ref="F41:F42"/>
    <mergeCell ref="D22:D31"/>
    <mergeCell ref="G46:G48"/>
    <mergeCell ref="E55:E57"/>
    <mergeCell ref="E111:E113"/>
    <mergeCell ref="E160:E162"/>
    <mergeCell ref="F156:F159"/>
    <mergeCell ref="G111:G113"/>
    <mergeCell ref="D89:D97"/>
    <mergeCell ref="E114:E115"/>
    <mergeCell ref="A163:M164"/>
    <mergeCell ref="E92:E94"/>
    <mergeCell ref="A1:M1"/>
    <mergeCell ref="G86:G88"/>
    <mergeCell ref="A2:E2"/>
    <mergeCell ref="E122:E124"/>
    <mergeCell ref="G122:G124"/>
    <mergeCell ref="H3:H4"/>
    <mergeCell ref="G160:G162"/>
    <mergeCell ref="J3:J4"/>
    <mergeCell ref="E29:E31"/>
    <mergeCell ref="F108:F110"/>
    <mergeCell ref="F55:F57"/>
    <mergeCell ref="A6:A162"/>
    <mergeCell ref="G10:G12"/>
    <mergeCell ref="E18:E19"/>
    <mergeCell ref="F78:F79"/>
    <mergeCell ref="F100:F102"/>
    <mergeCell ref="E15:E17"/>
    <mergeCell ref="G15:G17"/>
    <mergeCell ref="D49:D57"/>
    <mergeCell ref="E80:E82"/>
    <mergeCell ref="G24:G26"/>
    <mergeCell ref="F6:F7"/>
    <mergeCell ref="E89:E91"/>
    <mergeCell ref="G49:G51"/>
    <mergeCell ref="G58:G60"/>
    <mergeCell ref="F128:F129"/>
    <mergeCell ref="G80:G82"/>
    <mergeCell ref="G89:G91"/>
    <mergeCell ref="E70:E72"/>
    <mergeCell ref="G73:G75"/>
    <mergeCell ref="E98:E99"/>
    <mergeCell ref="F46:F48"/>
    <mergeCell ref="G98:G99"/>
    <mergeCell ref="F2:K2"/>
    <mergeCell ref="C89:C105"/>
    <mergeCell ref="C141:C155"/>
    <mergeCell ref="G35:G37"/>
    <mergeCell ref="F114:F115"/>
    <mergeCell ref="F10:F12"/>
    <mergeCell ref="A3:A4"/>
    <mergeCell ref="E43:E45"/>
    <mergeCell ref="G43:G45"/>
    <mergeCell ref="D73:D88"/>
    <mergeCell ref="E52:E54"/>
    <mergeCell ref="G52:G54"/>
    <mergeCell ref="D120:D134"/>
    <mergeCell ref="E6:E7"/>
    <mergeCell ref="E133:E134"/>
    <mergeCell ref="G20:G21"/>
    <mergeCell ref="G133:G134"/>
    <mergeCell ref="F106:F107"/>
    <mergeCell ref="F27:F28"/>
    <mergeCell ref="E130:E132"/>
    <mergeCell ref="E61:E62"/>
    <mergeCell ref="E83:E85"/>
    <mergeCell ref="G130:G132"/>
    <mergeCell ref="E135:E137"/>
    <mergeCell ref="E67:E69"/>
    <mergeCell ref="E116:E117"/>
    <mergeCell ref="E138:E140"/>
    <mergeCell ref="E150:E152"/>
    <mergeCell ref="G141:G143"/>
    <mergeCell ref="F83:F85"/>
    <mergeCell ref="F35:F37"/>
    <mergeCell ref="E103:E105"/>
    <mergeCell ref="F141:F143"/>
    <mergeCell ref="G125:G127"/>
    <mergeCell ref="G103:G105"/>
    <mergeCell ref="E22:E23"/>
    <mergeCell ref="F116:F117"/>
    <mergeCell ref="F138:F140"/>
    <mergeCell ref="E46:E48"/>
    <mergeCell ref="F125:F127"/>
    <mergeCell ref="D98:D105"/>
  </mergeCells>
  <conditionalFormatting sqref="K6:K12">
    <cfRule type="duplicateValues" priority="1" dxfId="0"/>
  </conditionalFormatting>
  <conditionalFormatting sqref="J6:J12">
    <cfRule type="duplicateValues" priority="2" dxfId="0"/>
  </conditionalFormatting>
  <dataValidations count="3">
    <dataValidation sqref="J1:J7 J8:J12 J13:J36" showDropDown="1" showInputMessage="0" showErrorMessage="1" allowBlank="1" errorTitle="" error="当前输入的内容，与本区域的其他单元格内容重复。" type="custom" errorStyle="warning">
      <formula1>COUNTIF($J:$J,J1)&lt;2</formula1>
    </dataValidation>
    <dataValidation sqref="K1:K7 K8:K12 K13:K36" showDropDown="1" showInputMessage="0" showErrorMessage="1" allowBlank="1" errorTitle="" error="当前输入的内容，与本区域的其他单元格内容重复。" type="custom" errorStyle="warning">
      <formula1>COUNTIF($K:$K,K1)&lt;2</formula1>
    </dataValidation>
    <dataValidation sqref="L6:L162" showDropDown="0" showInputMessage="0" showErrorMessage="0" allowBlank="1" type="list">
      <formula1>"新增,复用,利旧"</formula1>
    </dataValidation>
  </dataValidations>
  <pageMargins left="0.69930556" right="0.69930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2026-05-09T03:21:11Z</dcterms:created>
  <dcterms:modified xmlns:dcterms="http://purl.org/dc/terms/" xmlns:xsi="http://www.w3.org/2001/XMLSchema-instance" xsi:type="dcterms:W3CDTF">2026-05-09T03:21:12Z</dcterms:modified>
</cp:coreProperties>
</file>