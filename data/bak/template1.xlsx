
<file path=[Content_Types].xml><?xml version="1.0" encoding="utf-8"?>
<Types xmlns="http://schemas.openxmlformats.org/package/2006/content-types">
  <Default Extension="png" ContentType="image/png"/>
  <Default Extension="xml" ContentType="application/xml"/>
  <Default Extension="rels" ContentType="application/vnd.openxmlformats-package.relationships+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Override ContentType="application/vnd.openxmlformats-officedocument.drawing+xml" PartName="/xl/drawings/drawing2.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模型说明" sheetId="1" r:id="rId3"/>
    <sheet name="1、环境图" sheetId="2" r:id="rId4"/>
    <sheet name="2、功能点拆分表" sheetId="3" r:id="rId5"/>
  </sheets>
  <definedNames>
    <definedName name="北京地标">#REF!</definedName>
    <definedName name="_xlnm._FilterDatabase" localSheetId="2">'2、功能点拆分表'!$A$1:$M$1619</definedName>
    <definedName name="重庆地标">#REF!</definedName>
  </definedNames>
  <calcPr calcId="0" iterate="0"/>
</workbook>
</file>

<file path=xl/sharedStrings.xml><?xml version="1.0" encoding="utf-8"?>
<sst xmlns="http://schemas.openxmlformats.org/spreadsheetml/2006/main">
  <si>
    <r>
      <rPr>
        <rFont val="宋体"/>
        <b val="1"/>
        <color rgb="FF0000"/>
      </rPr>
      <t>模型填写顺序为：</t>
    </r>
    <r>
      <rPr>
        <rFont val="宋体"/>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</si>
  <si>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</si>
  <si>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</si>
  <si>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</si>
  <si>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</si>
  <si>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</si>
  <si>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</si>
  <si>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</si>
  <si>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</si>
  <si>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</si>
  <si>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</si>
  <si>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 xml:space="preserve">1. 建设目标</t>
  </si>
  <si>
    <t>为有效推动一线人员销售习惯由单一产品导向向客户需求综合服务导向转变，着力破解当前存在的“卖单品、卖资费、唯指标”等销售痛点，切实提升叠加态业务销售能力与客户价值挖掘水平，拟构建叠加态业务销售模块。本模块旨在针对不同客户场景与业务需求，预设并动态配置多样化、可定制的叠加业务方案库，实现智能匹配与一键推荐。当一线人员识别客户存在多重业务需求时，系统可快速、精准推送适配的叠加态方案，并引导人员主动、规范开展组合营销。同时，通过简化办理流程、整合业务入口，协助客户便捷完成多业务一体化订购与受理，提升办理体验与转化效率。最终，形成“场景识别—方案推荐—协同办理—效果跟踪”的销售闭环，推动业务从单点销售向融合营销升级，助力一线人员转型为综合服务顾问，实现客户价值与业务收入的双重提升。</t>
  </si>
  <si>
    <t>2.建设必要性</t>
  </si>
  <si>
    <t>为破解传统销售模式下“卖单品、卖资费、唯指标”的惯性桎梏，推动一线人员向以客户需求为中心的融合服务转型，全面提升叠加态业务销售能力，亟需构建叠加态业务销售模块。当前业务推荐依赖人工经验，缺乏系统化、场景化的方案支撑，导致交叉销售机会识别难、推荐效率低、办理流程繁，制约了客户价值深度挖掘与业务收入持续增长。通过建设本模块，可固化多业务融合推荐逻辑，预设覆盖各类客户场景的标准化叠加方案，实现系统智能匹配与一键推送，赋能一线人员在识别客户多维度需求时快速响应、精准推介。同时，模块将整合办理入口、简化操作流程，实现叠加业务的一站式受理，大幅提升办理体验与成交转化。本模块的建设是推动销售模式从“任务执行”向“价值经营”升级的关键支撑，对培养一线人员融合营销能力、增强客户黏性、促进业务从单点突破向整体解决方案转型具有重要现实意义。</t>
  </si>
  <si>
    <t xml:space="preserve">3. 系统架构图</t>
  </si>
  <si>
    <t xml:space="preserve">                                 图3.1 关于和乐业务叠加态业务办理的需求的一级功能示意图</t>
  </si>
  <si>
    <t xml:space="preserve">如图3.1所示  为了实现关于和乐业务叠加态业务办理的需求，本次主要新增地市后台小福包专区、用户前台等模块。</t>
  </si>
  <si>
    <t xml:space="preserve">                               图3.2 关于和乐业务叠加态业务办理的需求二级功能示意图</t>
  </si>
  <si>
    <t xml:space="preserve">如3.2所示 此架构图为一级功能的细化，本次主要本次主要新增装修管理、小福包产品管理、订单管理、店铺装修链接选择器、小福包首页页面、小福包下单页面、订单详情等模块</t>
  </si>
  <si>
    <t>图例：</t>
  </si>
  <si>
    <t>红色字体为新增模块</t>
  </si>
  <si>
    <t>蓝色字体为优化模块</t>
  </si>
  <si>
    <t>黑色字体原有模块</t>
  </si>
  <si>
    <t xml:space="preserve">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</si>
  <si>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</si>
  <si>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</si>
  <si>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</si>
  <si>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</si>
  <si>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</si>
  <si>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</si>
  <si>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</si>
  <si>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</si>
  <si>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</si>
  <si>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</si>
  <si>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</si>
  <si>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</si>
  <si>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</si>
  <si>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</si>
  <si>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</si>
  <si>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</si>
  <si>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</si>
  <si>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</si>
  <si>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</si>
  <si>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</si>
  <si>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</si>
  <si>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</si>
  <si>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</si>
  <si>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 xml:space="preserve">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</si>
  <si>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</si>
  <si>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 xml:space="preserve">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</si>
  <si>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 xml:space="preserve">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</si>
  <si>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</si>
  <si>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</si>
  <si>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</si>
  <si>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</si>
  <si>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</si>
  <si>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关于和乐业务叠加态业务办理的需求</t>
  </si>
  <si>
    <t>小福包专区</t>
  </si>
  <si>
    <t>装修管理</t>
  </si>
  <si>
    <t>基础配置</t>
  </si>
  <si>
    <t xml:space="preserve">发起者：操作员
接收者：地市后台</t>
  </si>
  <si>
    <t>用户触发</t>
  </si>
  <si>
    <t>获取装修管理基础配置页面</t>
  </si>
  <si>
    <t>点击获取基础配置页面数据</t>
  </si>
  <si>
    <t>E</t>
  </si>
  <si>
    <t>基础配置表单请求</t>
  </si>
  <si>
    <t>页面名称、背景颜色、分享设置、主标题、副标题、缩略图</t>
  </si>
  <si>
    <t>新增</t>
  </si>
  <si>
    <t>返回展示基础配置页面</t>
  </si>
  <si>
    <t>X</t>
  </si>
  <si>
    <t>基础配置表单响应</t>
  </si>
  <si>
    <t>页面ID、页面名称、背景颜色、分享设置、主标题、副标题、缩略图</t>
  </si>
  <si>
    <t>新增</t>
  </si>
  <si>
    <t>图片轮播组件</t>
  </si>
  <si>
    <t xml:space="preserve">发起者：操作员
接收者：地市后台</t>
  </si>
  <si>
    <t>用户触发</t>
  </si>
  <si>
    <t>添加图片轮播组件</t>
  </si>
  <si>
    <t>用户拖拽添加轮播组件</t>
  </si>
  <si>
    <t>E</t>
  </si>
  <si>
    <t>添加轮播图组件请求</t>
  </si>
  <si>
    <t>页面ID、组件类型（轮播）</t>
  </si>
  <si>
    <t>新增</t>
  </si>
  <si>
    <t>添加图片轮播组件</t>
  </si>
  <si>
    <t>返回渲染并展示轮播图组件配置列表</t>
  </si>
  <si>
    <t>X</t>
  </si>
  <si>
    <t>渲染响应</t>
  </si>
  <si>
    <t>组件ID、选择海报、自动轮播、轮播圆点、图片高度、切换时间、上边距、下边距、添加背景图片</t>
  </si>
  <si>
    <t>新增</t>
  </si>
  <si>
    <t xml:space="preserve">发起者：操作员
接收者：地市后台</t>
  </si>
  <si>
    <t>用户触发</t>
  </si>
  <si>
    <t>删除图片轮播组件</t>
  </si>
  <si>
    <t>点击删除轮播组件</t>
  </si>
  <si>
    <t>E</t>
  </si>
  <si>
    <t>删除指令</t>
  </si>
  <si>
    <t>组件ID、组件数据、用户ID</t>
  </si>
  <si>
    <t>新增</t>
  </si>
  <si>
    <t>删除轮播图组件数据</t>
  </si>
  <si>
    <t>W</t>
  </si>
  <si>
    <t>轮播组件列表</t>
  </si>
  <si>
    <t>选择海报、自动轮播、轮播圆点、图片高度、切换时间、上边距、下边距、添加背景图片、组件ID、序号</t>
  </si>
  <si>
    <t>新增</t>
  </si>
  <si>
    <t xml:space="preserve">发起者：操作员
接收者：地市后台</t>
  </si>
  <si>
    <t>用户触发</t>
  </si>
  <si>
    <t>添加轮播图片配置表单</t>
  </si>
  <si>
    <t>点击添加轮播图</t>
  </si>
  <si>
    <t>E</t>
  </si>
  <si>
    <t>轮播图片表单</t>
  </si>
  <si>
    <t>组件ID、图片标题、、排序</t>
  </si>
  <si>
    <t>新增</t>
  </si>
  <si>
    <t>添加轮播图片</t>
  </si>
  <si>
    <t>返回渲染并展示添加轮播图配置列表</t>
  </si>
  <si>
    <t>X</t>
  </si>
  <si>
    <t>轮播图添加响应</t>
  </si>
  <si>
    <t>标题、轮播信息、上传图片、标题、选择链接、序号</t>
  </si>
  <si>
    <t>新增</t>
  </si>
  <si>
    <t xml:space="preserve">发起者：操作员
接收者：地市后台</t>
  </si>
  <si>
    <t>用户触发</t>
  </si>
  <si>
    <t>删除轮播图片配置表单</t>
  </si>
  <si>
    <t>点击删除轮播图片</t>
  </si>
  <si>
    <t>E</t>
  </si>
  <si>
    <t>轮播图删除请求</t>
  </si>
  <si>
    <t>表单ID、表单数据、序号</t>
  </si>
  <si>
    <t>新增</t>
  </si>
  <si>
    <t>删除轮播图片及关联数据</t>
  </si>
  <si>
    <t>W</t>
  </si>
  <si>
    <t>轮播图列表</t>
  </si>
  <si>
    <t>上传图片、标题、选择链接、序号、表单ID、序号</t>
  </si>
  <si>
    <t>新增</t>
  </si>
  <si>
    <t xml:space="preserve">发起者：操作员
接收者：地市后台</t>
  </si>
  <si>
    <t>用户触发</t>
  </si>
  <si>
    <t>上传图片文件</t>
  </si>
  <si>
    <t>选择并上传图片文件</t>
  </si>
  <si>
    <t>E</t>
  </si>
  <si>
    <t>上传轮播图片请求</t>
  </si>
  <si>
    <t>文件二进制流、图片规格、关联ID</t>
  </si>
  <si>
    <t>新增</t>
  </si>
  <si>
    <t>上传轮播图片文件</t>
  </si>
  <si>
    <t>存储图片文件并关联轮播图组件</t>
  </si>
  <si>
    <t>W</t>
  </si>
  <si>
    <t>轮播图片资源表</t>
  </si>
  <si>
    <t>组件ID、轮播图ID、图片URL、文件大小、关联ID</t>
  </si>
  <si>
    <t>新增</t>
  </si>
  <si>
    <t xml:space="preserve">发起者：操作员
接收者：地市后台</t>
  </si>
  <si>
    <t>用户触发</t>
  </si>
  <si>
    <t>全局链接列表</t>
  </si>
  <si>
    <t>用户点击获取全局链接</t>
  </si>
  <si>
    <t>E</t>
  </si>
  <si>
    <t>全局链接列表获取</t>
  </si>
  <si>
    <t>小福包、功能模块、营销案活动、营销工具、业务、跳转链接、组件ID</t>
  </si>
  <si>
    <t>新增</t>
  </si>
  <si>
    <t>系统返回展示全局链接列表</t>
  </si>
  <si>
    <t>W</t>
  </si>
  <si>
    <t>全局链接列表展示</t>
  </si>
  <si>
    <t>编号、小福包名称、小福包编码、模块分类、模块名称、活动名称、业务名称、链接值</t>
  </si>
  <si>
    <t>新增</t>
  </si>
  <si>
    <t xml:space="preserve">发起者：操作员
接收者：地市后台</t>
  </si>
  <si>
    <t>用户触发</t>
  </si>
  <si>
    <t>选择链接配置</t>
  </si>
  <si>
    <t>点击提交选择的链接ID</t>
  </si>
  <si>
    <t>E</t>
  </si>
  <si>
    <t>链接提交请求</t>
  </si>
  <si>
    <t>轮播图片ID、链接ID、轮播组件ID</t>
  </si>
  <si>
    <t>新增</t>
  </si>
  <si>
    <t>选择链接并保存</t>
  </si>
  <si>
    <t>更新图片链接字段</t>
  </si>
  <si>
    <t>W</t>
  </si>
  <si>
    <t>轮播图片表</t>
  </si>
  <si>
    <t>更新链接ID、关联图片链接</t>
  </si>
  <si>
    <t>新增</t>
  </si>
  <si>
    <t>图片广告组件</t>
  </si>
  <si>
    <t xml:space="preserve">发起者：操作员
接收者：地市后台</t>
  </si>
  <si>
    <t>用户触发</t>
  </si>
  <si>
    <t>添加图片广告组件</t>
  </si>
  <si>
    <t>用户拖拽添加广告组件</t>
  </si>
  <si>
    <t>E</t>
  </si>
  <si>
    <t>添加图片广告组件请求</t>
  </si>
  <si>
    <t>页面ID、组件类型（广告）</t>
  </si>
  <si>
    <t>新增</t>
  </si>
  <si>
    <t>添加图片广告组件</t>
  </si>
  <si>
    <t>返回渲染并展示图片广告组件配置数据</t>
  </si>
  <si>
    <t>X</t>
  </si>
  <si>
    <t>广告组件响应</t>
  </si>
  <si>
    <t>组件ID、图片个数、图片边距、上边距、下边距、图片效果、标题对齐、标题名称、标题颜色、背景颜色</t>
  </si>
  <si>
    <t>新增</t>
  </si>
  <si>
    <t xml:space="preserve">发起者：操作员
接收者：地市后台</t>
  </si>
  <si>
    <t>用户触发</t>
  </si>
  <si>
    <t>删除图片广告组件</t>
  </si>
  <si>
    <t>点击删除图片广告组件</t>
  </si>
  <si>
    <t>E</t>
  </si>
  <si>
    <t>图片广告删除请求</t>
  </si>
  <si>
    <t>组件排序、组件ID、组件数据</t>
  </si>
  <si>
    <t>新增</t>
  </si>
  <si>
    <t>删除图片广告数据</t>
  </si>
  <si>
    <t>W</t>
  </si>
  <si>
    <t>图片广告数据列表</t>
  </si>
  <si>
    <t>图片个数、图片边距、上边距、下边距、图片效果、标题对齐、标题名称、标题颜色、背景颜色、组件排序、组件ID</t>
  </si>
  <si>
    <t>新增</t>
  </si>
  <si>
    <t xml:space="preserve">发起者：操作员
接收者：地市后台</t>
  </si>
  <si>
    <t>用户触发</t>
  </si>
  <si>
    <t>添加广告图片配置表单</t>
  </si>
  <si>
    <t>用户点击添加广告图片并配置关联数据</t>
  </si>
  <si>
    <t>E</t>
  </si>
  <si>
    <t>添加请求</t>
  </si>
  <si>
    <t>图片文件、标题、关联链接</t>
  </si>
  <si>
    <t>新增</t>
  </si>
  <si>
    <t>系统存储广告图片并创建关联关系</t>
  </si>
  <si>
    <t>W</t>
  </si>
  <si>
    <t>广告图片数据列表</t>
  </si>
  <si>
    <t>广告图片ID、组件ID、图片url、创建时间、图片规格、图片排序</t>
  </si>
  <si>
    <t>新增</t>
  </si>
  <si>
    <t xml:space="preserve">发起者：操作员
接收者：地市后台</t>
  </si>
  <si>
    <t>用户触发</t>
  </si>
  <si>
    <t>删除广告图片配置表单</t>
  </si>
  <si>
    <t>用户点击删除广告图片</t>
  </si>
  <si>
    <t>E</t>
  </si>
  <si>
    <t>广告图片删除请求</t>
  </si>
  <si>
    <t>用户ID、组件ID、广告图片ID</t>
  </si>
  <si>
    <t>新增</t>
  </si>
  <si>
    <t>系统删除广告图片及关联信息</t>
  </si>
  <si>
    <t>W</t>
  </si>
  <si>
    <t>广告图片数据表</t>
  </si>
  <si>
    <t>图片url、标题、关联链接、序号、预览数据</t>
  </si>
  <si>
    <t>新增</t>
  </si>
  <si>
    <t>小福包组件</t>
  </si>
  <si>
    <t xml:space="preserve">发起者：操作员
接收者：地市后台</t>
  </si>
  <si>
    <t>用户触发</t>
  </si>
  <si>
    <t>添加小福包组件</t>
  </si>
  <si>
    <t>点击提交添加小福包组件请求</t>
  </si>
  <si>
    <t>E</t>
  </si>
  <si>
    <t>添加组件请求</t>
  </si>
  <si>
    <t>页面ID、组件类型（小福包）</t>
  </si>
  <si>
    <t>新增</t>
  </si>
  <si>
    <t>添加小福包组件</t>
  </si>
  <si>
    <t>返回展示小福包组件配置列表</t>
  </si>
  <si>
    <t>X</t>
  </si>
  <si>
    <t>添加预览响应</t>
  </si>
  <si>
    <t>上边距、下边距、左边距、右边距、背景颜色、新增标签、添加背景图、组件ID</t>
  </si>
  <si>
    <t>新增</t>
  </si>
  <si>
    <t xml:space="preserve">发起者：操作员
接收者：地市后台</t>
  </si>
  <si>
    <t>用户触发</t>
  </si>
  <si>
    <t>删除小福包组件</t>
  </si>
  <si>
    <t>点击删除小福包组件</t>
  </si>
  <si>
    <t>E</t>
  </si>
  <si>
    <t>删除请求</t>
  </si>
  <si>
    <t>小福包组件ID、小福包组件排序</t>
  </si>
  <si>
    <t>新增</t>
  </si>
  <si>
    <t>删除小福包组件数据</t>
  </si>
  <si>
    <t>W</t>
  </si>
  <si>
    <t>小福包数据列表</t>
  </si>
  <si>
    <t>上边距、下边距、左边距、右边距、背景颜色、新增标签、添加背景图、组件ID、序号</t>
  </si>
  <si>
    <t>新增</t>
  </si>
  <si>
    <t xml:space="preserve">发起者：操作员
接收者：地市后台</t>
  </si>
  <si>
    <t>用户触发</t>
  </si>
  <si>
    <t>新增小福包标签</t>
  </si>
  <si>
    <t>点击新增小福包标签</t>
  </si>
  <si>
    <t>E</t>
  </si>
  <si>
    <t>标签表单</t>
  </si>
  <si>
    <t>标签名称、排序</t>
  </si>
  <si>
    <t>新增</t>
  </si>
  <si>
    <t>新增小福包标签</t>
  </si>
  <si>
    <t>返回并展示小福包标签</t>
  </si>
  <si>
    <t>X</t>
  </si>
  <si>
    <t>标签表</t>
  </si>
  <si>
    <t>标签ID、标签名称、排序、创建时间</t>
  </si>
  <si>
    <t>新增</t>
  </si>
  <si>
    <t xml:space="preserve">发起者：操作员
接收者：地市后台</t>
  </si>
  <si>
    <t>用户触发</t>
  </si>
  <si>
    <t>编辑小福包标签</t>
  </si>
  <si>
    <t>点击提交小福包标签数据</t>
  </si>
  <si>
    <t>E</t>
  </si>
  <si>
    <t>标签修改请求</t>
  </si>
  <si>
    <t>标签ID、排序、创建时间</t>
  </si>
  <si>
    <t>新增</t>
  </si>
  <si>
    <t>存储标签记录</t>
  </si>
  <si>
    <t>W</t>
  </si>
  <si>
    <t>标签列表</t>
  </si>
  <si>
    <t>标签名称、序号</t>
  </si>
  <si>
    <t>新增</t>
  </si>
  <si>
    <t xml:space="preserve">发起者：操作员
接收者：地市后台</t>
  </si>
  <si>
    <t>用户触发</t>
  </si>
  <si>
    <t>删除小福包标签</t>
  </si>
  <si>
    <t>点击删除小福包标签</t>
  </si>
  <si>
    <t>E</t>
  </si>
  <si>
    <t>标签删除指令</t>
  </si>
  <si>
    <t>标签ID、删除时间、标签序号</t>
  </si>
  <si>
    <t>新增</t>
  </si>
  <si>
    <t>删除标签数据</t>
  </si>
  <si>
    <t>W</t>
  </si>
  <si>
    <t>小福包标签列表</t>
  </si>
  <si>
    <t>标签名称、标签排序、删除时间</t>
  </si>
  <si>
    <t>新增</t>
  </si>
  <si>
    <t xml:space="preserve">发起者：操作员
接收者：地市后台</t>
  </si>
  <si>
    <t>用户触发</t>
  </si>
  <si>
    <t>添加小福包产品</t>
  </si>
  <si>
    <t>点击添加小福包并关联小福包产品</t>
  </si>
  <si>
    <t>E</t>
  </si>
  <si>
    <t>产品图片表单</t>
  </si>
  <si>
    <t>组件ID、产品标题、上传图片、关联小福包ID、关联标签ID、排序</t>
  </si>
  <si>
    <t>新增</t>
  </si>
  <si>
    <t>添加小福包产品表单</t>
  </si>
  <si>
    <t>渲染并展示小福包产品配置列表</t>
  </si>
  <si>
    <t>X</t>
  </si>
  <si>
    <t>添加展示响应</t>
  </si>
  <si>
    <t>标题、上传图片、选择小福包、关联标签排序、</t>
  </si>
  <si>
    <t>新增</t>
  </si>
  <si>
    <t xml:space="preserve">发起者：操作员
接收者：地市后台</t>
  </si>
  <si>
    <t>用户触发</t>
  </si>
  <si>
    <t>删除小福包产品</t>
  </si>
  <si>
    <t>点击删除小福包产品表单</t>
  </si>
  <si>
    <t>E</t>
  </si>
  <si>
    <t>删除信息</t>
  </si>
  <si>
    <t>小福包表单ID、序号、用户ID</t>
  </si>
  <si>
    <t>新增</t>
  </si>
  <si>
    <t>删除小福包产品及关联数据</t>
  </si>
  <si>
    <t>W</t>
  </si>
  <si>
    <t>表单数据表</t>
  </si>
  <si>
    <t>标题、上传图片、选择小福包、关联标签排序、表单排序</t>
  </si>
  <si>
    <t>新增</t>
  </si>
  <si>
    <t xml:space="preserve">发起者：操作员
接收者：地市后台</t>
  </si>
  <si>
    <t>用户触发</t>
  </si>
  <si>
    <t>关联小福包标签</t>
  </si>
  <si>
    <t>点击提交标签关联请求</t>
  </si>
  <si>
    <t>E</t>
  </si>
  <si>
    <t>标签关联请求</t>
  </si>
  <si>
    <t>图片ID、标签ID</t>
  </si>
  <si>
    <t>新增</t>
  </si>
  <si>
    <t>关联小福包标签</t>
  </si>
  <si>
    <t>创建标签关联</t>
  </si>
  <si>
    <t>W</t>
  </si>
  <si>
    <t>产品标签关联表</t>
  </si>
  <si>
    <t>图片ID、标签ID、关联时间</t>
  </si>
  <si>
    <t>新增</t>
  </si>
  <si>
    <t>活动预览</t>
  </si>
  <si>
    <t xml:space="preserve">发起者：操作员
接收者：地市后台</t>
  </si>
  <si>
    <t>用户触发</t>
  </si>
  <si>
    <t>活动预览</t>
  </si>
  <si>
    <t>用户添加组件设置参数</t>
  </si>
  <si>
    <t>E</t>
  </si>
  <si>
    <t>参数变更</t>
  </si>
  <si>
    <t>页面ID</t>
  </si>
  <si>
    <t>新增</t>
  </si>
  <si>
    <t>活动预览</t>
  </si>
  <si>
    <t>读取预览区域信息及组件参数</t>
  </si>
  <si>
    <t>R</t>
  </si>
  <si>
    <t>页面配置表、组件表、图片表等</t>
  </si>
  <si>
    <t>基础配置数据、小福包组件配置、轮播图组件配置、图片广告组件配置</t>
  </si>
  <si>
    <t>新增</t>
  </si>
  <si>
    <t>活动预览</t>
  </si>
  <si>
    <t>返回渲染并展示在预览区域</t>
  </si>
  <si>
    <t>X</t>
  </si>
  <si>
    <t>预览响应</t>
  </si>
  <si>
    <t>页面配置数据、预览参数</t>
  </si>
  <si>
    <t>新增</t>
  </si>
  <si>
    <t>保存活动</t>
  </si>
  <si>
    <t xml:space="preserve">发起者：操作员
接收者：地市后台</t>
  </si>
  <si>
    <t>用户触发</t>
  </si>
  <si>
    <t>保存活动</t>
  </si>
  <si>
    <t>点击提交完整页面配置数据</t>
  </si>
  <si>
    <t>E</t>
  </si>
  <si>
    <t>页面配置数据</t>
  </si>
  <si>
    <t>页面ID、组件列表、配置参数</t>
  </si>
  <si>
    <t>新增</t>
  </si>
  <si>
    <t>保存活动</t>
  </si>
  <si>
    <t>存储页面配置</t>
  </si>
  <si>
    <t>W</t>
  </si>
  <si>
    <t>页面配置表</t>
  </si>
  <si>
    <t>更新所有组件及配置</t>
  </si>
  <si>
    <t>新增</t>
  </si>
  <si>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si>
</sst>
</file>

<file path=xl/styles.xml><?xml version="1.0" encoding="utf-8"?>
<styleSheet xmlns="http://schemas.openxmlformats.org/spreadsheetml/2006/main">
  <numFmts count="1">
    <numFmt numFmtId="164" formatCode="0.00_ "/>
  </numFmts>
  <fonts count="10">
    <font>
      <name val="等线"/>
      <charset val="134"/>
      <color theme="1"/>
      <sz val="12"/>
      <scheme val="minor"/>
    </font>
    <font>
      <name val="宋体"/>
      <b/>
      <color rgb="FF0000"/>
      <sz val="12"/>
    </font>
    <font>
      <name val="宋体"/>
      <sz val="12"/>
    </font>
    <font>
      <name val="宋体"/>
      <b/>
      <sz val="14"/>
    </font>
    <font>
      <name val="宋体"/>
      <sz val="11"/>
    </font>
    <font>
      <name val="宋体"/>
      <sz val="9"/>
    </font>
    <font>
      <name val="Microsoft YaHei"/>
      <sz val="11"/>
    </font>
    <font>
      <name val="Times New Roman"/>
      <sz val="11"/>
    </font>
    <font>
      <name val="宋体"/>
      <color rgb="FF0000"/>
      <sz val="11"/>
    </font>
    <font>
      <name val="Microsoft YaHei"/>
      <sz val="6"/>
    </font>
  </fonts>
  <fills count="11">
    <fill>
      <patternFill/>
    </fill>
    <fill>
      <patternFill patternType="gray125"/>
    </fill>
    <fill>
      <patternFill patternType="solid">
        <fgColor rgb="FFFF00"/>
      </patternFill>
    </fill>
    <fill>
      <patternFill patternType="solid">
        <fgColor rgb="A5B6CA"/>
      </patternFill>
    </fill>
    <fill>
      <patternFill patternType="solid">
        <fgColor rgb="BFBFBF"/>
      </patternFill>
    </fill>
    <fill>
      <patternFill patternType="solid">
        <fgColor rgb="D8D8D8"/>
      </patternFill>
    </fill>
    <fill>
      <patternFill patternType="solid">
        <fgColor rgb="92D050"/>
      </patternFill>
    </fill>
    <fill>
      <patternFill patternType="solid">
        <fgColor rgb="A5A5A5"/>
      </patternFill>
    </fill>
    <fill>
      <patternFill patternType="solid">
        <fgColor rgb="FF0000"/>
      </patternFill>
    </fill>
    <fill>
      <patternFill patternType="solid">
        <fgColor rgb="00B0F0"/>
      </patternFill>
    </fill>
    <fill>
      <patternFill patternType="solid">
        <fgColor rgb="000000"/>
      </patternFill>
    </fill>
  </fills>
  <borders count="9">
    <border/>
    <border>
      <left style="thin">
        <color rgb="2b2b2b"/>
      </left>
      <top style="thin">
        <color rgb="2b2b2b"/>
      </top>
      <bottom style="thin">
        <color rgb="2b2b2b"/>
      </bottom>
    </border>
    <border>
      <right style="thin">
        <color rgb="2b2b2b"/>
      </right>
      <top style="thin">
        <color rgb="2b2b2b"/>
      </top>
      <bottom style="thin">
        <color rgb="2b2b2b"/>
      </bottom>
    </border>
    <border>
      <left style="thin">
        <color rgb="2b2b2b"/>
      </left>
      <right style="thin">
        <color rgb="2b2b2b"/>
      </right>
      <top style="thin">
        <color rgb="2b2b2b"/>
      </top>
      <bottom style="thin">
        <color rgb="2b2b2b"/>
      </bottom>
    </border>
    <border>
      <right style="thin">
        <color rgb="2b2b2b"/>
      </right>
      <top style="thin">
        <color rgb="2b2b2b"/>
      </top>
    </border>
    <border>
      <left style="thin">
        <color rgb="2b2b2b"/>
      </left>
      <right style="thin">
        <color rgb="2b2b2b"/>
      </right>
      <top style="thin">
        <color rgb="2b2b2b"/>
      </top>
    </border>
    <border>
      <right style="thin">
        <color rgb="2b2b2b"/>
      </right>
    </border>
    <border>
      <left style="thin">
        <color rgb="2b2b2b"/>
      </left>
      <right style="thin">
        <color rgb="2b2b2b"/>
      </right>
    </border>
    <border>
      <left style="thin">
        <color rgb="2b2b2b"/>
      </left>
      <right style="thin">
        <color rgb="2b2b2b"/>
      </right>
      <bottom style="thin">
        <color rgb="2b2b2b"/>
      </bottom>
    </border>
  </borders>
  <cellXfs count="49">
    <xf fontId="0" fillId="0" borderId="0" xfId="0"/>
    <xf fontId="1" fillId="2" borderId="1" applyFont="1" applyFill="1" applyBorder="1">
      <alignment vertical="center" wrapText="1"/>
    </xf>
    <xf fontId="2" fillId="2" borderId="2" applyFont="1" applyFill="1" applyBorder="1">
      <alignment vertical="center" wrapText="1"/>
    </xf>
    <xf fontId="1" fillId="3" borderId="3" applyFont="1" applyFill="1" applyBorder="1">
      <alignment horizontal="center" vertical="center"/>
    </xf>
    <xf fontId="2" borderId="3" applyFont="1" applyBorder="1">
      <alignment vertical="center"/>
    </xf>
    <xf fontId="1" borderId="3" applyFont="1" applyBorder="1">
      <alignment horizontal="center" vertical="center"/>
    </xf>
    <xf fontId="1" fillId="4" borderId="3" applyFont="1" applyFill="1" applyBorder="1">
      <alignment horizontal="center" vertical="center"/>
    </xf>
    <xf fontId="1" fillId="5" borderId="3" applyFont="1" applyFill="1" applyBorder="1">
      <alignment horizontal="center" vertical="center"/>
    </xf>
    <xf fontId="1" fillId="6" borderId="3" applyFont="1" applyFill="1" applyBorder="1">
      <alignment horizontal="center" vertical="center"/>
    </xf>
    <xf fontId="3" fillId="7" applyFont="1" applyFill="1">
      <alignment vertical="center"/>
    </xf>
    <xf fontId="4" applyFont="1">
      <alignment horizontal="center" vertical="center"/>
    </xf>
    <xf fontId="4" applyFont="1">
      <alignment vertical="center" wrapText="1"/>
    </xf>
    <xf fontId="4" applyFont="1">
      <alignment vertical="center"/>
    </xf>
    <xf fontId="4" applyFont="1">
      <alignment horizontal="left" vertical="center"/>
    </xf>
    <xf fontId="4" applyFont="1">
      <alignment horizontal="center" vertical="center" wrapText="1"/>
    </xf>
    <xf fontId="5" applyFont="1">
      <alignment vertical="center"/>
    </xf>
    <xf fontId="4" fillId="8" applyFont="1" applyFill="1">
      <alignment vertical="center"/>
    </xf>
    <xf fontId="2" applyFont="1">
      <alignment vertical="center"/>
    </xf>
    <xf fontId="2" fillId="9" applyFont="1" applyFill="1">
      <alignment vertical="center"/>
    </xf>
    <xf fontId="2" fillId="10" applyFont="1" applyFill="1">
      <alignment vertical="center"/>
    </xf>
    <xf fontId="6" fillId="7" borderId="3" applyFont="1" applyFill="1" applyBorder="1">
      <alignment horizontal="center" vertical="center" wrapText="1"/>
    </xf>
    <xf numFmtId="164" fontId="6" fillId="7" borderId="3" applyNumberFormat="1" applyFont="1" applyFill="1" applyBorder="1">
      <alignment horizontal="center" vertical="center" wrapText="1"/>
    </xf>
    <xf fontId="7" applyFont="1">
      <alignment vertical="center" wrapText="1"/>
    </xf>
    <xf fontId="6" fillId="7" borderId="2" applyFont="1" applyFill="1" applyBorder="1">
      <alignment horizontal="center" vertical="center" wrapText="1"/>
    </xf>
    <xf fontId="6" fillId="7" borderId="4" applyFont="1" applyFill="1" applyBorder="1">
      <alignment horizontal="center" vertical="center" wrapText="1"/>
    </xf>
    <xf fontId="6" fillId="7" borderId="5" applyFont="1" applyFill="1" applyBorder="1">
      <alignment horizontal="center" vertical="center" wrapText="1"/>
    </xf>
    <xf numFmtId="164" fontId="6" fillId="7" borderId="5" applyNumberFormat="1" applyFont="1" applyFill="1" applyBorder="1">
      <alignment horizontal="center" vertical="center" wrapText="1"/>
    </xf>
    <xf fontId="6" fillId="7" borderId="6" applyFont="1" applyFill="1" applyBorder="1">
      <alignment horizontal="center" vertical="center" wrapText="1"/>
    </xf>
    <xf fontId="6" fillId="7" borderId="7" applyFont="1" applyFill="1" applyBorder="1">
      <alignment horizontal="center" vertical="center" wrapText="1"/>
    </xf>
    <xf numFmtId="164" fontId="6" fillId="7" borderId="7" applyNumberFormat="1" applyFont="1" applyFill="1" applyBorder="1">
      <alignment horizontal="center" vertical="center" wrapText="1"/>
    </xf>
    <xf fontId="8" borderId="3" applyFont="1" applyBorder="1">
      <alignment vertical="center" wrapText="1"/>
    </xf>
    <xf fontId="8" borderId="3" applyFont="1" applyBorder="1">
      <alignment horizontal="center" vertical="center" wrapText="1"/>
    </xf>
    <xf fontId="4" borderId="5" applyFont="1" applyBorder="1">
      <alignment horizontal="center" vertical="center" wrapText="1"/>
    </xf>
    <xf numFmtId="1" fontId="6" borderId="5" applyNumberFormat="1" applyFont="1" applyBorder="1">
      <alignment horizontal="center" vertical="center" wrapText="1"/>
    </xf>
    <xf numFmtId="1" fontId="6" borderId="3" applyNumberFormat="1" applyFont="1" applyBorder="1">
      <alignment horizontal="center" vertical="center" wrapText="1"/>
    </xf>
    <xf fontId="6" borderId="5" applyFont="1" applyBorder="1">
      <alignment horizontal="center" vertical="center" wrapText="1"/>
    </xf>
    <xf numFmtId="1" fontId="6" borderId="3" applyNumberFormat="1" applyFont="1" applyBorder="1">
      <alignment horizontal="left" vertical="center" wrapText="1"/>
    </xf>
    <xf fontId="4" borderId="3" applyFont="1" applyBorder="1">
      <alignment horizontal="center" vertical="center" wrapText="1"/>
    </xf>
    <xf numFmtId="164" fontId="4" fillId="6" borderId="3" applyNumberFormat="1" applyFont="1" applyFill="1" applyBorder="1">
      <alignment horizontal="center" vertical="center" wrapText="1"/>
    </xf>
    <xf fontId="4" borderId="7" applyFont="1" applyBorder="1">
      <alignment horizontal="center" vertical="center" wrapText="1"/>
    </xf>
    <xf numFmtId="1" fontId="6" borderId="7" applyNumberFormat="1" applyFont="1" applyBorder="1">
      <alignment horizontal="center" vertical="center" wrapText="1"/>
    </xf>
    <xf fontId="6" borderId="7" applyFont="1" applyBorder="1">
      <alignment horizontal="center" vertical="center" wrapText="1"/>
    </xf>
    <xf fontId="6" borderId="8" applyFont="1" applyBorder="1">
      <alignment horizontal="center" vertical="center" wrapText="1"/>
    </xf>
    <xf fontId="6" borderId="3" applyFont="1" applyBorder="1">
      <alignment horizontal="left" vertical="center" wrapText="1"/>
    </xf>
    <xf fontId="6" borderId="3" applyFont="1" applyBorder="1">
      <alignment horizontal="center" vertical="center" wrapText="1"/>
    </xf>
    <xf numFmtId="1" fontId="6" borderId="8" applyNumberFormat="1" applyFont="1" applyBorder="1">
      <alignment horizontal="center" vertical="center" wrapText="1"/>
    </xf>
    <xf fontId="9" borderId="3" applyFont="1" applyBorder="1">
      <alignment vertical="center" wrapText="1"/>
    </xf>
    <xf fontId="9" borderId="3" applyFont="1" applyBorder="1">
      <alignment horizontal="center" vertical="center" wrapText="1"/>
    </xf>
    <xf fontId="7" applyFont="1">
      <alignment horizontal="center" vertical="center" wrapText="1"/>
    </xf>
  </cellXfs>
  <dxfs count="2">
    <dxf>
      <font>
        <b val="0"/>
        <i val="0"/>
        <strike val="0"/>
        <color rgb="9C0006"/>
        <u val="none"/>
      </font>
      <fill>
        <patternFill>
          <bgColor rgb="FFC7CE"/>
        </patternFill>
      </fill>
    </dxf>
    <dxf>
      <font>
        <b val="0"/>
        <i val="0"/>
        <strike val="0"/>
        <color rgb="9C0006"/>
        <u val="none"/>
      </font>
      <fill>
        <patternFill>
          <bgColor rgb="FFC7CE"/>
        </patternFill>
      </fill>
    </dxf>
  </dxfs>
</styleSheet>
</file>

<file path=xl/_rels/workbook.xml.rels><?xml version="1.0" encoding="UTF-8" standalone="yes"?><Relationships xmlns="http://schemas.openxmlformats.org/package/2006/relationships"><Relationship Id="rId2" Type="http://schemas.openxmlformats.org/officeDocument/2006/relationships/styles" TargetMode="Internal" Target="styles.xml"/><Relationship Id="rId3" Type="http://schemas.openxmlformats.org/officeDocument/2006/relationships/worksheet" TargetMode="Internal" Target="worksheets/sheet1.xml"/><Relationship Id="rId5" Type="http://schemas.openxmlformats.org/officeDocument/2006/relationships/worksheet" TargetMode="Internal" Target="worksheets/sheet3.xml"/><Relationship Id="rId1" Type="http://schemas.openxmlformats.org/officeDocument/2006/relationships/sharedStrings" TargetMode="Internal" Target="sharedStrings.xml"/><Relationship Id="rId4" Type="http://schemas.openxmlformats.org/officeDocument/2006/relationships/worksheet" TargetMode="Internal" Target="worksheets/sheet2.xml"/></Relationships>
</file>

<file path=xl/drawings/_rels/drawing2.xml.rels><?xml version="1.0" encoding="UTF-8" standalone="yes"?><Relationships xmlns="http://schemas.openxmlformats.org/package/2006/relationships"><Relationship Id="rId2" Type="http://schemas.openxmlformats.org/officeDocument/2006/relationships/image" TargetMode="Internal" Target="../media/image2.png"/><Relationship Id="rId1" Type="http://schemas.openxmlformats.org/officeDocument/2006/relationships/image" TargetMode="Internal" Target="../media/image1.png"/></Relationships>
</file>

<file path=xl/drawings/drawing2.xml><?xml version="1.0" encoding="utf-8"?>
<xdr:wsDr xmlns:a="http://schemas.openxmlformats.org/drawingml/2006/main" xmlns:c="http://schemas.openxmlformats.org/drawingml/2006/chart" xmlns:r="http://schemas.openxmlformats.org/officeDocument/2006/relationships" xmlns:xdr="http://schemas.openxmlformats.org/drawingml/2006/spreadsheetDrawing">
  <xdr:twoCellAnchor xdr:editAs="oneCell">
    <xdr:from>
      <xdr:col>0</xdr:col>
      <xdr:colOff>0</xdr:colOff>
      <xdr:row>7</xdr:row>
      <xdr:rowOff>0</xdr:rowOff>
    </xdr:from>
    <xdr:to>
      <xdr:col>7</xdr:col>
      <xdr:colOff>266700</xdr:colOff>
      <xdr:row>8</xdr:row>
      <xdr:rowOff>2984500</xdr:rowOff>
    </xdr:to>
    <xdr:pic>
      <xdr:nvPicPr>
        <xdr:cNvPr id="0" name=""/>
        <xdr:cNvPicPr>
          <a:picLocks noChangeAspect="1"/>
        </xdr:cNvPicPr>
      </xdr:nvPicPr>
      <xdr:blipFill xmlns:r="http://schemas.openxmlformats.org/officeDocument/2006/relationships">
        <a:blip r:embed="rId1"/>
        <a:stretch>
          <a:fillRect/>
        </a:stretch>
      </xdr:blipFill>
      <xdr:spPr>
        <a:xfrm rot="0"/>
        <a:prstGeom prst="rect"/>
      </xdr:spPr>
    </xdr:pic>
    <xdr:clientData/>
  </xdr:twoCellAnchor>
  <xdr:twoCellAnchor xdr:editAs="oneCell">
    <xdr:from>
      <xdr:col>0</xdr:col>
      <xdr:colOff>0</xdr:colOff>
      <xdr:row>13</xdr:row>
      <xdr:rowOff>0</xdr:rowOff>
    </xdr:from>
    <xdr:to>
      <xdr:col>6</xdr:col>
      <xdr:colOff>38100</xdr:colOff>
      <xdr:row>13</xdr:row>
      <xdr:rowOff>2438400</xdr:rowOff>
    </xdr:to>
    <xdr:pic>
      <xdr:nvPicPr>
        <xdr:cNvPr id="0" name=""/>
        <xdr:cNvPicPr>
          <a:picLocks noChangeAspect="1"/>
        </xdr:cNvPicPr>
      </xdr:nvPicPr>
      <xdr:blipFill xmlns:r="http://schemas.openxmlformats.org/officeDocument/2006/relationships">
        <a:blip r:embed="rId2"/>
        <a:stretch>
          <a:fillRect/>
        </a:stretch>
      </xdr:blipFill>
      <xdr:spPr>
        <a:xfrm rot="0"/>
        <a:prstGeom prst="rect"/>
      </xdr:spPr>
    </xdr:pic>
    <xdr:clientData/>
  </xdr:twoCellAnchor>
</xdr:wsDr>
</file>

<file path=xl/worksheets/_rels/sheet2.xml.rels><?xml version="1.0" encoding="UTF-8" standalone="yes"?><Relationships xmlns="http://schemas.openxmlformats.org/package/2006/relationships"><Relationship Id="rId1" Type="http://schemas.openxmlformats.org/officeDocument/2006/relationships/drawing" TargetMode="Internal"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1" workbookViewId="0"/>
  </sheetViews>
  <sheetFormatPr baseColWidth="10" defaultRowHeight="16" customHeight="0" zeroHeight="0" thickTop="0" thickBottom="0"/>
  <cols>
    <col min="1" max="1" width="15.663636" customWidth="1"/>
    <col min="2" max="2" width="100" customWidth="1"/>
    <col min="3" max="18" width="9" customWidth="1"/>
  </cols>
  <sheetData>
    <row r="1" ht="108.75" customHeight="1">
      <c r="A1" s="1" t="s">
        <v>0</v>
      </c>
      <c r="B1" s="2"/>
    </row>
    <row r="2"/>
    <row r="3"/>
    <row r="4" ht="15" customHeight="1">
      <c r="A4" s="3" t="s">
        <v>1</v>
      </c>
      <c r="B4" s="4" t="s">
        <v>2</v>
      </c>
    </row>
    <row r="5" ht="15" customHeight="1">
      <c r="A5" s="5" t="s">
        <v>3</v>
      </c>
      <c r="B5" s="4" t="s">
        <v>4</v>
      </c>
    </row>
    <row r="6" ht="15" customHeight="1">
      <c r="A6" s="6" t="s">
        <v>5</v>
      </c>
      <c r="B6" s="4" t="s">
        <v>6</v>
      </c>
    </row>
    <row r="7" ht="15" customHeight="1">
      <c r="A7" s="7" t="s">
        <v>7</v>
      </c>
      <c r="B7" s="4" t="s">
        <v>8</v>
      </c>
    </row>
    <row r="8" ht="15" customHeight="1">
      <c r="A8" s="8" t="s">
        <v>9</v>
      </c>
      <c r="B8" s="4" t="s">
        <v>10</v>
      </c>
    </row>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A1:B1"/>
  </mergeCells>
  <pageMargins left="0.69930556" right="0.69930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sheetViews>
  <sheetFormatPr baseColWidth="10" defaultRowHeight="16" customHeight="0" zeroHeight="0" thickTop="0" thickBottom="0"/>
  <cols>
    <col min="1" max="12" width="9" customWidth="1"/>
    <col min="13" max="13" width="47.763638" customWidth="1"/>
    <col min="14" max="18" width="9" customWidth="1"/>
  </cols>
  <sheetData>
    <row r="1" ht="22.05" customHeight="1">
      <c r="A1" s="9" t="s">
        <v>11</v>
      </c>
      <c r="B1" s="9"/>
      <c r="C1" s="9"/>
      <c r="D1" s="9"/>
      <c r="E1" s="9"/>
      <c r="M1" s="10"/>
    </row>
    <row r="2" ht="45" customHeight="1">
      <c r="A2" s="11" t="s">
        <v>12</v>
      </c>
      <c r="B2" s="11"/>
      <c r="C2" s="11"/>
      <c r="D2" s="11"/>
      <c r="E2" s="11"/>
      <c r="F2" s="11"/>
      <c r="G2" s="11"/>
      <c r="H2" s="11"/>
      <c r="I2" s="11"/>
      <c r="J2" s="11"/>
      <c r="K2" s="11"/>
      <c r="L2" s="11"/>
      <c r="M2" s="11"/>
    </row>
    <row r="3" ht="30" customHeight="1">
      <c r="A3" s="11"/>
      <c r="B3" s="11"/>
      <c r="C3" s="11"/>
      <c r="D3" s="11"/>
      <c r="E3" s="11"/>
      <c r="F3" s="11"/>
      <c r="G3" s="11"/>
      <c r="H3" s="11"/>
      <c r="I3" s="11"/>
      <c r="J3" s="11"/>
      <c r="K3" s="11"/>
      <c r="L3" s="11"/>
      <c r="M3" s="11"/>
      <c r="N3" s="10"/>
      <c r="O3" s="10"/>
      <c r="P3" s="10"/>
      <c r="Q3" s="10"/>
      <c r="R3" s="10"/>
    </row>
    <row r="4" ht="22.05" customHeight="1">
      <c r="A4" s="9" t="s">
        <v>13</v>
      </c>
      <c r="B4" s="9"/>
      <c r="C4" s="9"/>
      <c r="D4" s="9"/>
      <c r="E4" s="9"/>
      <c r="N4" s="10"/>
      <c r="O4" s="10"/>
      <c r="P4" s="10"/>
      <c r="Q4" s="10"/>
      <c r="R4" s="10"/>
    </row>
    <row r="5" ht="29" customHeight="1">
      <c r="A5" s="11" t="s">
        <v>14</v>
      </c>
      <c r="B5" s="11"/>
      <c r="C5" s="11"/>
      <c r="D5" s="11"/>
      <c r="E5" s="11"/>
      <c r="F5" s="11"/>
      <c r="G5" s="11"/>
      <c r="H5" s="11"/>
      <c r="I5" s="11"/>
      <c r="J5" s="11"/>
      <c r="K5" s="11"/>
      <c r="L5" s="11"/>
      <c r="M5" s="11"/>
      <c r="N5" s="10"/>
      <c r="O5" s="10"/>
      <c r="P5" s="10"/>
      <c r="Q5" s="10"/>
      <c r="R5" s="10"/>
    </row>
    <row r="6" ht="42" customHeight="1">
      <c r="A6" s="11"/>
      <c r="B6" s="11"/>
      <c r="C6" s="11"/>
      <c r="D6" s="11"/>
      <c r="E6" s="11"/>
      <c r="F6" s="11"/>
      <c r="G6" s="11"/>
      <c r="H6" s="11"/>
      <c r="I6" s="11"/>
      <c r="J6" s="11"/>
      <c r="K6" s="11"/>
      <c r="L6" s="11"/>
      <c r="M6" s="11"/>
      <c r="N6" s="10"/>
      <c r="O6" s="10"/>
      <c r="P6" s="10"/>
      <c r="Q6" s="10"/>
      <c r="R6" s="10"/>
    </row>
    <row r="7" ht="22.05" customHeight="1">
      <c r="A7" s="9" t="s">
        <v>15</v>
      </c>
      <c r="B7" s="9"/>
      <c r="C7" s="9"/>
      <c r="D7" s="9"/>
      <c r="E7" s="9"/>
      <c r="N7" s="10"/>
      <c r="O7" s="10"/>
      <c r="P7" s="10"/>
      <c r="Q7" s="10"/>
      <c r="R7" s="10"/>
    </row>
    <row r="8" ht="22.05" customHeight="1">
      <c r="A8" s="12"/>
      <c r="B8" s="12"/>
      <c r="C8" s="12"/>
      <c r="D8" s="12"/>
      <c r="E8" s="12"/>
      <c r="F8" s="12"/>
      <c r="G8" s="12"/>
      <c r="H8" s="12"/>
      <c r="I8" s="12"/>
      <c r="J8" s="12"/>
      <c r="K8" s="12"/>
      <c r="L8" s="12"/>
      <c r="M8" s="12"/>
      <c r="N8" s="10"/>
      <c r="O8" s="10"/>
      <c r="P8" s="10"/>
      <c r="Q8" s="10"/>
      <c r="R8" s="10"/>
    </row>
    <row r="9" ht="246" customHeight="1">
      <c r="A9" s="12"/>
      <c r="B9" s="12"/>
      <c r="C9" s="12"/>
      <c r="D9" s="12"/>
      <c r="E9" s="12"/>
      <c r="F9" s="12"/>
      <c r="G9" s="12"/>
      <c r="H9" s="12"/>
      <c r="I9" s="12"/>
      <c r="J9" s="12"/>
      <c r="K9" s="12"/>
      <c r="L9" s="12"/>
      <c r="M9" s="12"/>
    </row>
    <row r="10" ht="22.05" customHeight="1">
      <c r="A10" s="13" t="s">
        <v>16</v>
      </c>
      <c r="B10" s="13"/>
      <c r="C10" s="13"/>
      <c r="D10" s="13"/>
      <c r="E10" s="13"/>
      <c r="F10" s="13"/>
      <c r="G10" s="13"/>
      <c r="H10" s="13"/>
      <c r="I10" s="13"/>
      <c r="J10" s="13"/>
      <c r="K10" s="13"/>
      <c r="L10" s="13"/>
      <c r="M10" s="13"/>
    </row>
    <row r="11" ht="22.05" customHeight="1">
      <c r="A11" s="10" t="s">
        <v>17</v>
      </c>
      <c r="B11" s="10"/>
      <c r="C11" s="10"/>
      <c r="D11" s="10"/>
      <c r="E11" s="10"/>
      <c r="F11" s="10"/>
      <c r="G11" s="10"/>
      <c r="H11" s="10"/>
      <c r="I11" s="10"/>
      <c r="J11" s="10"/>
      <c r="K11" s="10"/>
      <c r="L11" s="10"/>
      <c r="M11" s="10"/>
    </row>
    <row r="12" ht="22.05" customHeight="1">
      <c r="A12" s="10"/>
      <c r="B12" s="10"/>
      <c r="C12" s="10"/>
      <c r="D12" s="10"/>
      <c r="E12" s="10"/>
      <c r="F12" s="10"/>
      <c r="G12" s="10"/>
      <c r="H12" s="10"/>
      <c r="I12" s="10"/>
      <c r="J12" s="10"/>
      <c r="K12" s="10"/>
      <c r="L12" s="10"/>
      <c r="M12" s="10"/>
    </row>
    <row r="13" ht="22.05" customHeight="1">
      <c r="A13" s="10"/>
      <c r="B13" s="10"/>
      <c r="C13" s="10"/>
      <c r="D13" s="10"/>
      <c r="E13" s="10"/>
      <c r="F13" s="10"/>
      <c r="G13" s="10"/>
      <c r="H13" s="10"/>
      <c r="I13" s="10"/>
      <c r="J13" s="10"/>
      <c r="K13" s="10"/>
      <c r="L13" s="10"/>
      <c r="M13" s="10"/>
    </row>
    <row r="14" ht="204" customHeight="1">
      <c r="A14" s="10"/>
      <c r="B14" s="10"/>
      <c r="C14" s="10"/>
      <c r="D14" s="10"/>
      <c r="E14" s="10"/>
      <c r="F14" s="10"/>
      <c r="G14" s="10"/>
      <c r="H14" s="10"/>
      <c r="I14" s="10"/>
      <c r="J14" s="10"/>
      <c r="K14" s="10"/>
      <c r="L14" s="10"/>
      <c r="M14" s="10"/>
    </row>
    <row r="15" ht="22.05" customHeight="1">
      <c r="A15" s="13" t="s">
        <v>18</v>
      </c>
      <c r="B15" s="13"/>
      <c r="C15" s="13"/>
      <c r="D15" s="13"/>
      <c r="E15" s="13"/>
      <c r="F15" s="13"/>
      <c r="G15" s="13"/>
      <c r="H15" s="13"/>
      <c r="I15" s="13"/>
      <c r="J15" s="13"/>
      <c r="K15" s="13"/>
      <c r="L15" s="13"/>
      <c r="M15" s="13"/>
    </row>
    <row r="16" ht="22.05" customHeight="1">
      <c r="A16" s="14" t="s">
        <v>19</v>
      </c>
      <c r="B16" s="14"/>
      <c r="C16" s="14"/>
      <c r="D16" s="14"/>
      <c r="E16" s="14"/>
      <c r="F16" s="14"/>
      <c r="G16" s="14"/>
      <c r="H16" s="14"/>
      <c r="I16" s="14"/>
      <c r="J16" s="14"/>
      <c r="K16" s="14"/>
      <c r="L16" s="14"/>
      <c r="M16" s="14"/>
    </row>
    <row r="17" ht="22.05" customHeight="1">
      <c r="A17" s="14"/>
      <c r="B17" s="14"/>
      <c r="C17" s="14"/>
      <c r="D17" s="14"/>
      <c r="E17" s="14"/>
      <c r="F17" s="14"/>
      <c r="G17" s="14"/>
      <c r="H17" s="14"/>
      <c r="I17" s="14"/>
      <c r="J17" s="14"/>
      <c r="K17" s="14"/>
      <c r="L17" s="14"/>
      <c r="M17" s="14"/>
    </row>
    <row r="18" ht="22.05" customHeight="1">
      <c r="A18" s="14"/>
      <c r="B18" s="14"/>
      <c r="C18" s="14"/>
      <c r="D18" s="14"/>
      <c r="E18" s="14"/>
      <c r="F18" s="14"/>
      <c r="G18" s="14"/>
      <c r="H18" s="14"/>
      <c r="I18" s="14"/>
      <c r="J18" s="14"/>
      <c r="K18" s="14"/>
      <c r="L18" s="14"/>
      <c r="M18" s="14"/>
    </row>
    <row r="19" ht="22.05" customHeight="1">
      <c r="A19" s="15" t="s">
        <v>20</v>
      </c>
      <c r="B19" s="16"/>
      <c r="C19" s="17" t="s">
        <v>21</v>
      </c>
      <c r="D19" s="11"/>
    </row>
    <row r="20" ht="22.05" customHeight="1">
      <c r="A20" s="17"/>
      <c r="B20" s="18"/>
      <c r="C20" s="17" t="s">
        <v>22</v>
      </c>
      <c r="D20" s="17"/>
    </row>
    <row r="21" ht="22.05" customHeight="1">
      <c r="A21" s="17"/>
      <c r="B21" s="19"/>
      <c r="C21" s="17" t="s">
        <v>23</v>
      </c>
      <c r="D21" s="17"/>
      <c r="N21" s="12"/>
    </row>
    <row r="22" ht="22.05" customHeight="1">
      <c r="A22" s="17"/>
      <c r="B22" s="17"/>
      <c r="C22" s="17"/>
      <c r="D22" s="17"/>
      <c r="N22" s="12"/>
    </row>
    <row r="23" ht="22.05" customHeight="1"/>
    <row r="24" ht="22.05" customHeight="1"/>
    <row r="25" ht="22.05" customHeight="1">
      <c r="A25" s="9" t="s">
        <v>24</v>
      </c>
      <c r="B25" s="9"/>
      <c r="C25" s="9"/>
      <c r="D25" s="9"/>
      <c r="E25" s="9"/>
    </row>
    <row r="26" ht="22.05" customHeight="1">
      <c r="A26" s="15" t="s">
        <v>25</v>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8">
    <mergeCell ref="A2:M3"/>
    <mergeCell ref="A5:M6"/>
    <mergeCell ref="A8:M9"/>
    <mergeCell ref="A10:M10"/>
    <mergeCell ref="A11:M13"/>
    <mergeCell ref="A14:M14"/>
    <mergeCell ref="A15:M15"/>
    <mergeCell ref="A16:M18"/>
  </mergeCells>
  <pageMargins left="0.69930556" right="0.69930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sheetViews>
  <sheetFormatPr baseColWidth="10" defaultRowHeight="16" customHeight="0" zeroHeight="0" thickTop="0" thickBottom="0"/>
  <cols>
    <col min="1" max="2" width="15.545455" customWidth="1"/>
    <col min="3" max="3" width="14.636364" customWidth="1"/>
    <col min="4" max="4" width="14.818181" customWidth="1"/>
    <col min="5" max="5" width="20.818182" customWidth="1"/>
    <col min="6" max="6" width="20.636362" customWidth="1"/>
    <col min="7" max="7" width="41.636364" customWidth="1"/>
    <col min="8" max="8" width="51.236362" customWidth="1"/>
    <col min="9" max="9" width="18.636364" customWidth="1"/>
    <col min="10" max="10" width="24.818182" customWidth="1"/>
    <col min="11" max="11" width="29.418182" customWidth="1"/>
    <col min="12" max="12" width="19.363636" customWidth="1"/>
    <col min="13" max="13" width="17.09091" customWidth="1"/>
    <col min="14" max="18" width="9" customWidth="1"/>
  </cols>
  <sheetData>
    <row r="1" ht="16.5" customHeight="1">
      <c r="A1" s="20" t="s">
        <v>26</v>
      </c>
      <c r="B1" s="20"/>
      <c r="C1" s="20"/>
      <c r="D1" s="20"/>
      <c r="E1" s="20"/>
      <c r="F1" s="20"/>
      <c r="G1" s="20"/>
      <c r="H1" s="20"/>
      <c r="I1" s="20"/>
      <c r="J1" s="20"/>
      <c r="K1" s="20"/>
      <c r="L1" s="20"/>
      <c r="M1" s="21"/>
      <c r="N1" s="22"/>
      <c r="O1" s="22"/>
      <c r="P1" s="22"/>
      <c r="Q1" s="22"/>
      <c r="R1" s="22"/>
    </row>
    <row r="2" ht="16.5" customHeight="1">
      <c r="A2" s="23" t="s">
        <v>27</v>
      </c>
      <c r="B2" s="23"/>
      <c r="C2" s="23"/>
      <c r="D2" s="23"/>
      <c r="E2" s="20"/>
      <c r="F2" s="20" t="s">
        <v>28</v>
      </c>
      <c r="G2" s="20"/>
      <c r="H2" s="20"/>
      <c r="I2" s="20"/>
      <c r="J2" s="20"/>
      <c r="K2" s="20"/>
      <c r="L2" s="20" t="s">
        <v>29</v>
      </c>
      <c r="M2" s="21"/>
      <c r="N2" s="22"/>
      <c r="O2" s="22"/>
      <c r="P2" s="22"/>
      <c r="Q2" s="22"/>
      <c r="R2" s="22"/>
    </row>
    <row r="3" ht="16.5" customHeight="1">
      <c r="A3" s="24" t="s">
        <v>30</v>
      </c>
      <c r="B3" s="24"/>
      <c r="C3" s="25" t="s">
        <v>31</v>
      </c>
      <c r="D3" s="24"/>
      <c r="E3" s="25" t="s">
        <v>32</v>
      </c>
      <c r="F3" s="25" t="s">
        <v>33</v>
      </c>
      <c r="G3" s="25" t="s">
        <v>34</v>
      </c>
      <c r="H3" s="25" t="s">
        <v>35</v>
      </c>
      <c r="I3" s="25" t="s">
        <v>36</v>
      </c>
      <c r="J3" s="25" t="s">
        <v>37</v>
      </c>
      <c r="K3" s="25" t="s">
        <v>38</v>
      </c>
      <c r="L3" s="25" t="s">
        <v>39</v>
      </c>
      <c r="M3" s="26" t="s">
        <v>40</v>
      </c>
      <c r="N3" s="22"/>
      <c r="O3" s="22"/>
      <c r="P3" s="22"/>
      <c r="Q3" s="22"/>
      <c r="R3" s="22"/>
    </row>
    <row r="4" ht="16.5" customHeight="1">
      <c r="A4" s="27"/>
      <c r="B4" s="24" t="s">
        <v>41</v>
      </c>
      <c r="C4" s="24" t="s">
        <v>42</v>
      </c>
      <c r="D4" s="24" t="s">
        <v>43</v>
      </c>
      <c r="E4" s="28"/>
      <c r="F4" s="28"/>
      <c r="G4" s="28"/>
      <c r="H4" s="28"/>
      <c r="I4" s="28"/>
      <c r="J4" s="28"/>
      <c r="K4" s="28"/>
      <c r="L4" s="28"/>
      <c r="M4" s="29"/>
      <c r="N4" s="22"/>
      <c r="O4" s="22"/>
      <c r="P4" s="22"/>
      <c r="Q4" s="22"/>
      <c r="R4" s="22"/>
    </row>
    <row r="5" ht="140" customHeight="1">
      <c r="A5" s="30" t="s">
        <v>44</v>
      </c>
      <c r="B5" s="30" t="s">
        <v>45</v>
      </c>
      <c r="C5" s="31" t="s">
        <v>46</v>
      </c>
      <c r="D5" s="31" t="s">
        <v>47</v>
      </c>
      <c r="E5" s="31" t="s">
        <v>48</v>
      </c>
      <c r="F5" s="31" t="s">
        <v>49</v>
      </c>
      <c r="G5" s="31" t="s">
        <v>50</v>
      </c>
      <c r="H5" s="30" t="s">
        <v>51</v>
      </c>
      <c r="I5" s="31" t="s">
        <v>52</v>
      </c>
      <c r="J5" s="30" t="s">
        <v>53</v>
      </c>
      <c r="K5" s="30" t="s">
        <v>54</v>
      </c>
      <c r="L5" s="30" t="s">
        <v>55</v>
      </c>
      <c r="M5" s="30" t="s">
        <v>56</v>
      </c>
      <c r="N5" s="22"/>
      <c r="O5" s="22"/>
      <c r="P5" s="22"/>
      <c r="Q5" s="22"/>
      <c r="R5" s="22"/>
    </row>
    <row r="6" ht="33" customHeight="1">
      <c r="A6" s="32" t="s">
        <v>57</v>
      </c>
      <c r="B6" s="33" t="s">
        <v>58</v>
      </c>
      <c r="C6" s="34" t="s">
        <v>59</v>
      </c>
      <c r="D6" s="33" t="s">
        <v>60</v>
      </c>
      <c r="E6" s="35" t="s">
        <v>61</v>
      </c>
      <c r="F6" s="35" t="s">
        <v>62</v>
      </c>
      <c r="G6" s="35" t="s">
        <v>63</v>
      </c>
      <c r="H6" s="36" t="s">
        <v>64</v>
      </c>
      <c r="I6" s="36" t="s">
        <v>65</v>
      </c>
      <c r="J6" s="36" t="s">
        <v>66</v>
      </c>
      <c r="K6" s="36" t="s">
        <v>67</v>
      </c>
      <c r="L6" s="37" t="s">
        <v>68</v>
      </c>
      <c r="M6" s="38" t="n">
        <f>IF(L6="新增",1,IF(L6="复用",1/3,IF(L6="利旧",0)))</f>
        <v>1</v>
      </c>
      <c r="N6" s="22"/>
      <c r="O6" s="22"/>
      <c r="P6" s="22"/>
      <c r="Q6" s="22"/>
      <c r="R6" s="22"/>
    </row>
    <row r="7" ht="49.5" customHeight="1">
      <c r="A7" s="39"/>
      <c r="B7" s="40"/>
      <c r="C7" s="34"/>
      <c r="D7" s="40"/>
      <c r="E7" s="41"/>
      <c r="F7" s="42"/>
      <c r="G7" s="41"/>
      <c r="H7" s="36" t="s">
        <v>69</v>
      </c>
      <c r="I7" s="36" t="s">
        <v>70</v>
      </c>
      <c r="J7" s="43" t="s">
        <v>71</v>
      </c>
      <c r="K7" s="43" t="s">
        <v>72</v>
      </c>
      <c r="L7" s="37" t="s">
        <v>73</v>
      </c>
      <c r="M7" s="38" t="n">
        <f>IF(L7="新增",1,IF(L7="复用",1/3,IF(L7="利旧",0)))</f>
        <v>1</v>
      </c>
      <c r="N7" s="22"/>
      <c r="O7" s="22"/>
      <c r="P7" s="22"/>
      <c r="Q7" s="22"/>
      <c r="R7" s="22"/>
    </row>
    <row r="8" ht="16.5" customHeight="1">
      <c r="A8" s="39"/>
      <c r="B8" s="40"/>
      <c r="C8" s="34"/>
      <c r="D8" s="34" t="s">
        <v>74</v>
      </c>
      <c r="E8" s="44" t="s">
        <v>75</v>
      </c>
      <c r="F8" s="44" t="s">
        <v>76</v>
      </c>
      <c r="G8" s="44" t="s">
        <v>77</v>
      </c>
      <c r="H8" s="36" t="s">
        <v>78</v>
      </c>
      <c r="I8" s="36" t="s">
        <v>79</v>
      </c>
      <c r="J8" s="43" t="s">
        <v>80</v>
      </c>
      <c r="K8" s="43" t="s">
        <v>81</v>
      </c>
      <c r="L8" s="37" t="s">
        <v>82</v>
      </c>
      <c r="M8" s="38" t="n">
        <f>IF(L8="新增",1,IF(L8="复用",1/3,IF(L8="利旧",0)))</f>
        <v>1</v>
      </c>
      <c r="N8" s="22"/>
      <c r="O8" s="22"/>
      <c r="P8" s="22"/>
      <c r="Q8" s="22"/>
      <c r="R8" s="22"/>
    </row>
    <row r="9" ht="66" customHeight="1">
      <c r="A9" s="39"/>
      <c r="B9" s="40"/>
      <c r="C9" s="34"/>
      <c r="D9" s="34"/>
      <c r="E9" s="44"/>
      <c r="F9" s="44"/>
      <c r="G9" s="44" t="s">
        <v>83</v>
      </c>
      <c r="H9" s="36" t="s">
        <v>84</v>
      </c>
      <c r="I9" s="36" t="s">
        <v>85</v>
      </c>
      <c r="J9" s="43" t="s">
        <v>86</v>
      </c>
      <c r="K9" s="43" t="s">
        <v>87</v>
      </c>
      <c r="L9" s="37" t="s">
        <v>88</v>
      </c>
      <c r="M9" s="38" t="n">
        <f>IF(L9="新增",1,IF(L9="复用",1/3,IF(L9="利旧",0)))</f>
        <v>1</v>
      </c>
      <c r="N9" s="22"/>
      <c r="O9" s="22"/>
      <c r="P9" s="22"/>
      <c r="Q9" s="22"/>
      <c r="R9" s="22"/>
    </row>
    <row r="10" ht="16.5" customHeight="1">
      <c r="A10" s="39"/>
      <c r="B10" s="40"/>
      <c r="C10" s="34"/>
      <c r="D10" s="34"/>
      <c r="E10" s="44" t="s">
        <v>89</v>
      </c>
      <c r="F10" s="35" t="s">
        <v>90</v>
      </c>
      <c r="G10" s="35" t="s">
        <v>91</v>
      </c>
      <c r="H10" s="36" t="s">
        <v>92</v>
      </c>
      <c r="I10" s="36" t="s">
        <v>93</v>
      </c>
      <c r="J10" s="43" t="s">
        <v>94</v>
      </c>
      <c r="K10" s="43" t="s">
        <v>95</v>
      </c>
      <c r="L10" s="37" t="s">
        <v>96</v>
      </c>
      <c r="M10" s="38" t="n">
        <f>IF(L10="新增",1,IF(L10="复用",1/3,IF(L10="利旧",0)))</f>
        <v>1</v>
      </c>
      <c r="N10" s="22"/>
      <c r="O10" s="22"/>
      <c r="P10" s="22"/>
      <c r="Q10" s="22"/>
      <c r="R10" s="22"/>
    </row>
    <row r="11" ht="66" customHeight="1">
      <c r="A11" s="39"/>
      <c r="B11" s="40"/>
      <c r="C11" s="34"/>
      <c r="D11" s="34"/>
      <c r="E11" s="44"/>
      <c r="F11" s="41"/>
      <c r="G11" s="41"/>
      <c r="H11" s="36" t="s">
        <v>97</v>
      </c>
      <c r="I11" s="36" t="s">
        <v>98</v>
      </c>
      <c r="J11" s="43" t="s">
        <v>99</v>
      </c>
      <c r="K11" s="43" t="s">
        <v>100</v>
      </c>
      <c r="L11" s="37" t="s">
        <v>101</v>
      </c>
      <c r="M11" s="38" t="n">
        <f>IF(L11="新增",1,IF(L11="复用",1/3,IF(L11="利旧",0)))</f>
        <v>1</v>
      </c>
      <c r="N11" s="22"/>
      <c r="O11" s="22"/>
      <c r="P11" s="22"/>
      <c r="Q11" s="22"/>
      <c r="R11" s="22"/>
    </row>
    <row r="12" ht="16.5" customHeight="1">
      <c r="A12" s="39"/>
      <c r="B12" s="40"/>
      <c r="C12" s="34"/>
      <c r="D12" s="34"/>
      <c r="E12" s="44" t="s">
        <v>102</v>
      </c>
      <c r="F12" s="44" t="s">
        <v>103</v>
      </c>
      <c r="G12" s="44" t="s">
        <v>104</v>
      </c>
      <c r="H12" s="36" t="s">
        <v>105</v>
      </c>
      <c r="I12" s="36" t="s">
        <v>106</v>
      </c>
      <c r="J12" s="43" t="s">
        <v>107</v>
      </c>
      <c r="K12" s="43" t="s">
        <v>108</v>
      </c>
      <c r="L12" s="37" t="s">
        <v>109</v>
      </c>
      <c r="M12" s="38" t="n">
        <f>IF(L12="新增",1,IF(L12="复用",1/3,IF(L12="利旧",0)))</f>
        <v>1</v>
      </c>
      <c r="N12" s="22"/>
      <c r="O12" s="22"/>
      <c r="P12" s="22"/>
      <c r="Q12" s="22"/>
      <c r="R12" s="22"/>
    </row>
    <row r="13" ht="33" customHeight="1">
      <c r="A13" s="39"/>
      <c r="B13" s="40"/>
      <c r="C13" s="34"/>
      <c r="D13" s="34"/>
      <c r="E13" s="44"/>
      <c r="F13" s="44"/>
      <c r="G13" s="44" t="s">
        <v>110</v>
      </c>
      <c r="H13" s="36" t="s">
        <v>111</v>
      </c>
      <c r="I13" s="36" t="s">
        <v>112</v>
      </c>
      <c r="J13" s="43" t="s">
        <v>113</v>
      </c>
      <c r="K13" s="43" t="s">
        <v>114</v>
      </c>
      <c r="L13" s="37" t="s">
        <v>115</v>
      </c>
      <c r="M13" s="38" t="n">
        <f>IF(L13="新增",1,IF(L13="复用",1/3,IF(L13="利旧",0)))</f>
        <v>1</v>
      </c>
      <c r="N13" s="22"/>
      <c r="O13" s="22"/>
      <c r="P13" s="22"/>
      <c r="Q13" s="22"/>
      <c r="R13" s="22"/>
    </row>
    <row r="14" ht="16.5" customHeight="1">
      <c r="A14" s="39"/>
      <c r="B14" s="40"/>
      <c r="C14" s="34"/>
      <c r="D14" s="34"/>
      <c r="E14" s="44" t="s">
        <v>116</v>
      </c>
      <c r="F14" s="35" t="s">
        <v>117</v>
      </c>
      <c r="G14" s="35" t="s">
        <v>118</v>
      </c>
      <c r="H14" s="36" t="s">
        <v>119</v>
      </c>
      <c r="I14" s="36" t="s">
        <v>120</v>
      </c>
      <c r="J14" s="43" t="s">
        <v>121</v>
      </c>
      <c r="K14" s="43" t="s">
        <v>122</v>
      </c>
      <c r="L14" s="37" t="s">
        <v>123</v>
      </c>
      <c r="M14" s="38" t="n">
        <f>IF(L14="新增",1,IF(L14="复用",1/3,IF(L14="利旧",0)))</f>
        <v>1</v>
      </c>
      <c r="N14" s="22"/>
      <c r="O14" s="22"/>
      <c r="P14" s="22"/>
      <c r="Q14" s="22"/>
      <c r="R14" s="22"/>
    </row>
    <row r="15" ht="33" customHeight="1">
      <c r="A15" s="39"/>
      <c r="B15" s="40"/>
      <c r="C15" s="34"/>
      <c r="D15" s="34"/>
      <c r="E15" s="44"/>
      <c r="F15" s="41"/>
      <c r="G15" s="41"/>
      <c r="H15" s="36" t="s">
        <v>124</v>
      </c>
      <c r="I15" s="36" t="s">
        <v>125</v>
      </c>
      <c r="J15" s="43" t="s">
        <v>126</v>
      </c>
      <c r="K15" s="43" t="s">
        <v>127</v>
      </c>
      <c r="L15" s="37" t="s">
        <v>128</v>
      </c>
      <c r="M15" s="38" t="n">
        <f>IF(L15="新增",1,IF(L15="复用",1/3,IF(L15="利旧",0)))</f>
        <v>1</v>
      </c>
      <c r="N15" s="22"/>
      <c r="O15" s="22"/>
      <c r="P15" s="22"/>
      <c r="Q15" s="22"/>
      <c r="R15" s="22"/>
    </row>
    <row r="16" ht="33" customHeight="1">
      <c r="A16" s="39"/>
      <c r="B16" s="40"/>
      <c r="C16" s="34"/>
      <c r="D16" s="34"/>
      <c r="E16" s="44" t="s">
        <v>129</v>
      </c>
      <c r="F16" s="44" t="s">
        <v>130</v>
      </c>
      <c r="G16" s="44" t="s">
        <v>131</v>
      </c>
      <c r="H16" s="36" t="s">
        <v>132</v>
      </c>
      <c r="I16" s="36" t="s">
        <v>133</v>
      </c>
      <c r="J16" s="43" t="s">
        <v>134</v>
      </c>
      <c r="K16" s="43" t="s">
        <v>135</v>
      </c>
      <c r="L16" s="37" t="s">
        <v>136</v>
      </c>
      <c r="M16" s="38" t="n">
        <f>IF(L16="新增",1,IF(L16="复用",1/3,IF(L16="利旧",0)))</f>
        <v>1</v>
      </c>
      <c r="N16" s="22"/>
      <c r="O16" s="22"/>
      <c r="P16" s="22"/>
      <c r="Q16" s="22"/>
      <c r="R16" s="22"/>
    </row>
    <row r="17" ht="33" customHeight="1">
      <c r="A17" s="39"/>
      <c r="B17" s="40"/>
      <c r="C17" s="34"/>
      <c r="D17" s="34"/>
      <c r="E17" s="44"/>
      <c r="F17" s="44"/>
      <c r="G17" s="44" t="s">
        <v>137</v>
      </c>
      <c r="H17" s="36" t="s">
        <v>138</v>
      </c>
      <c r="I17" s="36" t="s">
        <v>139</v>
      </c>
      <c r="J17" s="43" t="s">
        <v>140</v>
      </c>
      <c r="K17" s="43" t="s">
        <v>141</v>
      </c>
      <c r="L17" s="37" t="s">
        <v>142</v>
      </c>
      <c r="M17" s="38" t="n">
        <f>IF(L17="新增",1,IF(L17="复用",1/3,IF(L17="利旧",0)))</f>
        <v>1</v>
      </c>
      <c r="N17" s="22"/>
      <c r="O17" s="22"/>
      <c r="P17" s="22"/>
      <c r="Q17" s="22"/>
      <c r="R17" s="22"/>
    </row>
    <row r="18" ht="49.5" customHeight="1">
      <c r="A18" s="39"/>
      <c r="B18" s="40"/>
      <c r="C18" s="34"/>
      <c r="D18" s="34"/>
      <c r="E18" s="35" t="s">
        <v>143</v>
      </c>
      <c r="F18" s="35" t="s">
        <v>144</v>
      </c>
      <c r="G18" s="35" t="s">
        <v>145</v>
      </c>
      <c r="H18" s="36" t="s">
        <v>146</v>
      </c>
      <c r="I18" s="36" t="s">
        <v>147</v>
      </c>
      <c r="J18" s="43" t="s">
        <v>148</v>
      </c>
      <c r="K18" s="43" t="s">
        <v>149</v>
      </c>
      <c r="L18" s="37" t="s">
        <v>150</v>
      </c>
      <c r="M18" s="38" t="n">
        <f>IF(L18="新增",1,IF(L18="复用",1/3,IF(L18="利旧",0)))</f>
        <v>1</v>
      </c>
      <c r="N18" s="22"/>
      <c r="O18" s="22"/>
      <c r="P18" s="22"/>
      <c r="Q18" s="22"/>
      <c r="R18" s="22"/>
    </row>
    <row r="19" ht="49.5" customHeight="1">
      <c r="A19" s="39"/>
      <c r="B19" s="40"/>
      <c r="C19" s="34"/>
      <c r="D19" s="34"/>
      <c r="E19" s="42"/>
      <c r="F19" s="42"/>
      <c r="G19" s="42"/>
      <c r="H19" s="36" t="s">
        <v>151</v>
      </c>
      <c r="I19" s="36" t="s">
        <v>152</v>
      </c>
      <c r="J19" s="43" t="s">
        <v>153</v>
      </c>
      <c r="K19" s="43" t="s">
        <v>154</v>
      </c>
      <c r="L19" s="37" t="s">
        <v>155</v>
      </c>
      <c r="M19" s="38" t="n">
        <f>IF(L19="新增",1,IF(L19="复用",1/3,IF(L19="利旧",0)))</f>
        <v>1</v>
      </c>
      <c r="N19" s="22"/>
      <c r="O19" s="22"/>
      <c r="P19" s="22"/>
      <c r="Q19" s="22"/>
      <c r="R19" s="22"/>
    </row>
    <row r="20" ht="33" customHeight="1">
      <c r="A20" s="39"/>
      <c r="B20" s="40"/>
      <c r="C20" s="34"/>
      <c r="D20" s="34"/>
      <c r="E20" s="44" t="s">
        <v>156</v>
      </c>
      <c r="F20" s="44" t="s">
        <v>157</v>
      </c>
      <c r="G20" s="44" t="s">
        <v>158</v>
      </c>
      <c r="H20" s="36" t="s">
        <v>159</v>
      </c>
      <c r="I20" s="36" t="s">
        <v>160</v>
      </c>
      <c r="J20" s="43" t="s">
        <v>161</v>
      </c>
      <c r="K20" s="43" t="s">
        <v>162</v>
      </c>
      <c r="L20" s="37" t="s">
        <v>163</v>
      </c>
      <c r="M20" s="38" t="n">
        <f>IF(L20="新增",1,IF(L20="复用",1/3,IF(L20="利旧",0)))</f>
        <v>1</v>
      </c>
      <c r="N20" s="22"/>
      <c r="O20" s="22"/>
      <c r="P20" s="22"/>
      <c r="Q20" s="22"/>
      <c r="R20" s="22"/>
    </row>
    <row r="21" ht="16.5" customHeight="1">
      <c r="A21" s="39"/>
      <c r="B21" s="40"/>
      <c r="C21" s="34"/>
      <c r="D21" s="34"/>
      <c r="E21" s="44"/>
      <c r="F21" s="44"/>
      <c r="G21" s="44" t="s">
        <v>164</v>
      </c>
      <c r="H21" s="36" t="s">
        <v>165</v>
      </c>
      <c r="I21" s="36" t="s">
        <v>166</v>
      </c>
      <c r="J21" s="43" t="s">
        <v>167</v>
      </c>
      <c r="K21" s="43" t="s">
        <v>168</v>
      </c>
      <c r="L21" s="37" t="s">
        <v>169</v>
      </c>
      <c r="M21" s="38" t="n">
        <f>IF(L21="新增",1,IF(L21="复用",1/3,IF(L21="利旧",0)))</f>
        <v>1</v>
      </c>
      <c r="N21" s="22"/>
      <c r="O21" s="22"/>
      <c r="P21" s="22"/>
      <c r="Q21" s="22"/>
      <c r="R21" s="22"/>
    </row>
    <row r="22" ht="16.5" customHeight="1">
      <c r="A22" s="39"/>
      <c r="B22" s="40"/>
      <c r="C22" s="34"/>
      <c r="D22" s="33" t="s">
        <v>170</v>
      </c>
      <c r="E22" s="44" t="s">
        <v>171</v>
      </c>
      <c r="F22" s="44" t="s">
        <v>172</v>
      </c>
      <c r="G22" s="44" t="s">
        <v>173</v>
      </c>
      <c r="H22" s="36" t="s">
        <v>174</v>
      </c>
      <c r="I22" s="36" t="s">
        <v>175</v>
      </c>
      <c r="J22" s="43" t="s">
        <v>176</v>
      </c>
      <c r="K22" s="43" t="s">
        <v>177</v>
      </c>
      <c r="L22" s="37" t="s">
        <v>178</v>
      </c>
      <c r="M22" s="38" t="n">
        <f>IF(L22="新增",1,IF(L22="复用",1/3,IF(L22="利旧",0)))</f>
        <v>1</v>
      </c>
      <c r="N22" s="22"/>
      <c r="O22" s="22"/>
      <c r="P22" s="22"/>
      <c r="Q22" s="22"/>
      <c r="R22" s="22"/>
    </row>
    <row r="23" ht="66" customHeight="1">
      <c r="A23" s="39"/>
      <c r="B23" s="40"/>
      <c r="C23" s="34"/>
      <c r="D23" s="40"/>
      <c r="E23" s="44"/>
      <c r="F23" s="44"/>
      <c r="G23" s="44" t="s">
        <v>179</v>
      </c>
      <c r="H23" s="36" t="s">
        <v>180</v>
      </c>
      <c r="I23" s="36" t="s">
        <v>181</v>
      </c>
      <c r="J23" s="43" t="s">
        <v>182</v>
      </c>
      <c r="K23" s="43" t="s">
        <v>183</v>
      </c>
      <c r="L23" s="37" t="s">
        <v>184</v>
      </c>
      <c r="M23" s="38" t="n">
        <f>IF(L23="新增",1,IF(L23="复用",1/3,IF(L23="利旧",0)))</f>
        <v>1</v>
      </c>
      <c r="N23" s="22"/>
      <c r="O23" s="22"/>
      <c r="P23" s="22"/>
      <c r="Q23" s="22"/>
      <c r="R23" s="22"/>
    </row>
    <row r="24" ht="16.5" customHeight="1">
      <c r="A24" s="39"/>
      <c r="B24" s="40"/>
      <c r="C24" s="34"/>
      <c r="D24" s="40"/>
      <c r="E24" s="44" t="s">
        <v>185</v>
      </c>
      <c r="F24" s="35" t="s">
        <v>186</v>
      </c>
      <c r="G24" s="35" t="s">
        <v>187</v>
      </c>
      <c r="H24" s="36" t="s">
        <v>188</v>
      </c>
      <c r="I24" s="36" t="s">
        <v>189</v>
      </c>
      <c r="J24" s="36" t="s">
        <v>190</v>
      </c>
      <c r="K24" s="36" t="s">
        <v>191</v>
      </c>
      <c r="L24" s="37" t="s">
        <v>192</v>
      </c>
      <c r="M24" s="38" t="n">
        <f>IF(L24="新增",1,IF(L24="复用",1/3,IF(L24="利旧",0)))</f>
        <v>1</v>
      </c>
      <c r="N24" s="22"/>
      <c r="O24" s="22"/>
      <c r="P24" s="22"/>
      <c r="Q24" s="22"/>
      <c r="R24" s="22"/>
    </row>
    <row r="25" ht="66" customHeight="1">
      <c r="A25" s="39"/>
      <c r="B25" s="40"/>
      <c r="C25" s="34"/>
      <c r="D25" s="40"/>
      <c r="E25" s="44"/>
      <c r="F25" s="41"/>
      <c r="G25" s="41"/>
      <c r="H25" s="36" t="s">
        <v>193</v>
      </c>
      <c r="I25" s="36" t="s">
        <v>194</v>
      </c>
      <c r="J25" s="36" t="s">
        <v>195</v>
      </c>
      <c r="K25" s="36" t="s">
        <v>196</v>
      </c>
      <c r="L25" s="37" t="s">
        <v>197</v>
      </c>
      <c r="M25" s="38" t="n">
        <f>IF(L25="新增",1,IF(L25="复用",1/3,IF(L25="利旧",0)))</f>
        <v>1</v>
      </c>
      <c r="N25" s="22"/>
      <c r="O25" s="22"/>
      <c r="P25" s="22"/>
      <c r="Q25" s="22"/>
      <c r="R25" s="22"/>
    </row>
    <row r="26" ht="16.5" customHeight="1">
      <c r="A26" s="39"/>
      <c r="B26" s="40"/>
      <c r="C26" s="34"/>
      <c r="D26" s="40"/>
      <c r="E26" s="35" t="s">
        <v>198</v>
      </c>
      <c r="F26" s="35" t="s">
        <v>199</v>
      </c>
      <c r="G26" s="35" t="s">
        <v>200</v>
      </c>
      <c r="H26" s="36" t="s">
        <v>201</v>
      </c>
      <c r="I26" s="36" t="s">
        <v>202</v>
      </c>
      <c r="J26" s="43" t="s">
        <v>203</v>
      </c>
      <c r="K26" s="43" t="s">
        <v>204</v>
      </c>
      <c r="L26" s="37" t="s">
        <v>205</v>
      </c>
      <c r="M26" s="38" t="n">
        <f>IF(L26="新增",1,IF(L26="复用",1/3,IF(L26="利旧",0)))</f>
        <v>1</v>
      </c>
      <c r="N26" s="22"/>
      <c r="O26" s="22"/>
      <c r="P26" s="22"/>
      <c r="Q26" s="22"/>
      <c r="R26" s="22"/>
    </row>
    <row r="27" ht="49.5" customHeight="1">
      <c r="A27" s="39"/>
      <c r="B27" s="40"/>
      <c r="C27" s="34"/>
      <c r="D27" s="40"/>
      <c r="E27" s="42"/>
      <c r="F27" s="42"/>
      <c r="G27" s="42"/>
      <c r="H27" s="36" t="s">
        <v>206</v>
      </c>
      <c r="I27" s="36" t="s">
        <v>207</v>
      </c>
      <c r="J27" s="43" t="s">
        <v>208</v>
      </c>
      <c r="K27" s="43" t="s">
        <v>209</v>
      </c>
      <c r="L27" s="37" t="s">
        <v>210</v>
      </c>
      <c r="M27" s="38" t="n">
        <f>IF(L27="新增",1,IF(L27="复用",1/3,IF(L27="利旧",0)))</f>
        <v>1</v>
      </c>
      <c r="N27" s="22"/>
      <c r="O27" s="22"/>
      <c r="P27" s="22"/>
      <c r="Q27" s="22"/>
      <c r="R27" s="22"/>
    </row>
    <row r="28" ht="16.5" customHeight="1">
      <c r="A28" s="39"/>
      <c r="B28" s="40"/>
      <c r="C28" s="34"/>
      <c r="D28" s="40"/>
      <c r="E28" s="35" t="s">
        <v>211</v>
      </c>
      <c r="F28" s="35" t="s">
        <v>212</v>
      </c>
      <c r="G28" s="35" t="s">
        <v>213</v>
      </c>
      <c r="H28" s="36" t="s">
        <v>214</v>
      </c>
      <c r="I28" s="36" t="s">
        <v>215</v>
      </c>
      <c r="J28" s="43" t="s">
        <v>216</v>
      </c>
      <c r="K28" s="43" t="s">
        <v>217</v>
      </c>
      <c r="L28" s="37" t="s">
        <v>218</v>
      </c>
      <c r="M28" s="38" t="n">
        <f>IF(L28="新增",1,IF(L28="复用",1/3,IF(L28="利旧",0)))</f>
        <v>1</v>
      </c>
      <c r="N28" s="22"/>
      <c r="O28" s="22"/>
      <c r="P28" s="22"/>
      <c r="Q28" s="22"/>
      <c r="R28" s="22"/>
    </row>
    <row r="29" ht="33" customHeight="1">
      <c r="A29" s="39"/>
      <c r="B29" s="40"/>
      <c r="C29" s="34"/>
      <c r="D29" s="45"/>
      <c r="E29" s="42"/>
      <c r="F29" s="42"/>
      <c r="G29" s="42"/>
      <c r="H29" s="36" t="s">
        <v>219</v>
      </c>
      <c r="I29" s="36" t="s">
        <v>220</v>
      </c>
      <c r="J29" s="43" t="s">
        <v>221</v>
      </c>
      <c r="K29" s="43" t="s">
        <v>222</v>
      </c>
      <c r="L29" s="37" t="s">
        <v>223</v>
      </c>
      <c r="M29" s="38" t="n">
        <f>IF(L29="新增",1,IF(L29="复用",1/3,IF(L29="利旧",0)))</f>
        <v>1</v>
      </c>
      <c r="N29" s="22"/>
      <c r="O29" s="22"/>
      <c r="P29" s="22"/>
      <c r="Q29" s="22"/>
      <c r="R29" s="22"/>
    </row>
    <row r="30" ht="16.5" customHeight="1">
      <c r="A30" s="39"/>
      <c r="B30" s="40"/>
      <c r="C30" s="34"/>
      <c r="D30" s="34" t="s">
        <v>224</v>
      </c>
      <c r="E30" s="44" t="s">
        <v>225</v>
      </c>
      <c r="F30" s="44" t="s">
        <v>226</v>
      </c>
      <c r="G30" s="44" t="s">
        <v>227</v>
      </c>
      <c r="H30" s="36" t="s">
        <v>228</v>
      </c>
      <c r="I30" s="36" t="s">
        <v>229</v>
      </c>
      <c r="J30" s="43" t="s">
        <v>230</v>
      </c>
      <c r="K30" s="43" t="s">
        <v>231</v>
      </c>
      <c r="L30" s="37" t="s">
        <v>232</v>
      </c>
      <c r="M30" s="38" t="n">
        <f>IF(L30="新增",1,IF(L30="复用",1/3,IF(L30="利旧",0)))</f>
        <v>1</v>
      </c>
      <c r="N30" s="22"/>
      <c r="O30" s="22"/>
      <c r="P30" s="22"/>
      <c r="Q30" s="22"/>
      <c r="R30" s="22"/>
    </row>
    <row r="31" ht="49.5" customHeight="1">
      <c r="A31" s="39"/>
      <c r="B31" s="40"/>
      <c r="C31" s="34"/>
      <c r="D31" s="34"/>
      <c r="E31" s="44"/>
      <c r="F31" s="44"/>
      <c r="G31" s="44" t="s">
        <v>233</v>
      </c>
      <c r="H31" s="36" t="s">
        <v>234</v>
      </c>
      <c r="I31" s="36" t="s">
        <v>235</v>
      </c>
      <c r="J31" s="43" t="s">
        <v>236</v>
      </c>
      <c r="K31" s="43" t="s">
        <v>237</v>
      </c>
      <c r="L31" s="37" t="s">
        <v>238</v>
      </c>
      <c r="M31" s="38" t="n">
        <f>IF(L31="新增",1,IF(L31="复用",1/3,IF(L31="利旧",0)))</f>
        <v>1</v>
      </c>
      <c r="N31" s="22"/>
      <c r="O31" s="22"/>
      <c r="P31" s="22"/>
      <c r="Q31" s="22"/>
      <c r="R31" s="22"/>
    </row>
    <row r="32" ht="16.5" customHeight="1">
      <c r="A32" s="39"/>
      <c r="B32" s="40"/>
      <c r="C32" s="34"/>
      <c r="D32" s="34"/>
      <c r="E32" s="44" t="s">
        <v>239</v>
      </c>
      <c r="F32" s="35" t="s">
        <v>240</v>
      </c>
      <c r="G32" s="35" t="s">
        <v>241</v>
      </c>
      <c r="H32" s="36" t="s">
        <v>242</v>
      </c>
      <c r="I32" s="36" t="s">
        <v>243</v>
      </c>
      <c r="J32" s="43" t="s">
        <v>244</v>
      </c>
      <c r="K32" s="43" t="s">
        <v>245</v>
      </c>
      <c r="L32" s="37" t="s">
        <v>246</v>
      </c>
      <c r="M32" s="38" t="n">
        <f>IF(L32="新增",1,IF(L32="复用",1/3,IF(L32="利旧",0)))</f>
        <v>1</v>
      </c>
      <c r="N32" s="22"/>
      <c r="O32" s="22"/>
      <c r="P32" s="22"/>
      <c r="Q32" s="22"/>
      <c r="R32" s="22"/>
    </row>
    <row r="33" ht="49.5" customHeight="1">
      <c r="A33" s="39"/>
      <c r="B33" s="40"/>
      <c r="C33" s="34"/>
      <c r="D33" s="34"/>
      <c r="E33" s="44"/>
      <c r="F33" s="41"/>
      <c r="G33" s="41"/>
      <c r="H33" s="36" t="s">
        <v>247</v>
      </c>
      <c r="I33" s="36" t="s">
        <v>248</v>
      </c>
      <c r="J33" s="43" t="s">
        <v>249</v>
      </c>
      <c r="K33" s="43" t="s">
        <v>250</v>
      </c>
      <c r="L33" s="37" t="s">
        <v>251</v>
      </c>
      <c r="M33" s="38" t="n">
        <f>IF(L33="新增",1,IF(L33="复用",1/3,IF(L33="利旧",0)))</f>
        <v>1</v>
      </c>
      <c r="N33" s="22"/>
      <c r="O33" s="22"/>
      <c r="P33" s="22"/>
      <c r="Q33" s="22"/>
      <c r="R33" s="22"/>
    </row>
    <row r="34" ht="16.5" customHeight="1">
      <c r="A34" s="39"/>
      <c r="B34" s="40"/>
      <c r="C34" s="34"/>
      <c r="D34" s="34"/>
      <c r="E34" s="44" t="s">
        <v>252</v>
      </c>
      <c r="F34" s="44" t="s">
        <v>253</v>
      </c>
      <c r="G34" s="44" t="s">
        <v>254</v>
      </c>
      <c r="H34" s="36" t="s">
        <v>255</v>
      </c>
      <c r="I34" s="36" t="s">
        <v>256</v>
      </c>
      <c r="J34" s="43" t="s">
        <v>257</v>
      </c>
      <c r="K34" s="43" t="s">
        <v>258</v>
      </c>
      <c r="L34" s="37" t="s">
        <v>259</v>
      </c>
      <c r="M34" s="38" t="n">
        <f>IF(L34="新增",1,IF(L34="复用",1/3,IF(L34="利旧",0)))</f>
        <v>1</v>
      </c>
      <c r="N34" s="22"/>
      <c r="O34" s="22"/>
      <c r="P34" s="22"/>
      <c r="Q34" s="22"/>
      <c r="R34" s="22"/>
    </row>
    <row r="35" ht="33" customHeight="1">
      <c r="A35" s="39"/>
      <c r="B35" s="40"/>
      <c r="C35" s="34"/>
      <c r="D35" s="34"/>
      <c r="E35" s="44"/>
      <c r="F35" s="44"/>
      <c r="G35" s="44" t="s">
        <v>260</v>
      </c>
      <c r="H35" s="36" t="s">
        <v>261</v>
      </c>
      <c r="I35" s="36" t="s">
        <v>262</v>
      </c>
      <c r="J35" s="43" t="s">
        <v>263</v>
      </c>
      <c r="K35" s="43" t="s">
        <v>264</v>
      </c>
      <c r="L35" s="37" t="s">
        <v>265</v>
      </c>
      <c r="M35" s="38" t="n">
        <f>IF(L35="新增",1,IF(L35="复用",1/3,IF(L35="利旧",0)))</f>
        <v>1</v>
      </c>
      <c r="N35" s="22"/>
      <c r="O35" s="22"/>
      <c r="P35" s="22"/>
      <c r="Q35" s="22"/>
      <c r="R35" s="22"/>
    </row>
    <row r="36" ht="16.5" customHeight="1">
      <c r="A36" s="39"/>
      <c r="B36" s="40"/>
      <c r="C36" s="34"/>
      <c r="D36" s="34"/>
      <c r="E36" s="44" t="s">
        <v>266</v>
      </c>
      <c r="F36" s="35" t="s">
        <v>267</v>
      </c>
      <c r="G36" s="35" t="s">
        <v>268</v>
      </c>
      <c r="H36" s="36" t="s">
        <v>269</v>
      </c>
      <c r="I36" s="36" t="s">
        <v>270</v>
      </c>
      <c r="J36" s="43" t="s">
        <v>271</v>
      </c>
      <c r="K36" s="43" t="s">
        <v>272</v>
      </c>
      <c r="L36" s="37" t="s">
        <v>273</v>
      </c>
      <c r="M36" s="38" t="n">
        <f>IF(L36="新增",1,IF(L36="复用",1/3,IF(L36="利旧",0)))</f>
        <v>1</v>
      </c>
      <c r="N36" s="22"/>
      <c r="O36" s="22"/>
      <c r="P36" s="22"/>
      <c r="Q36" s="22"/>
      <c r="R36" s="22"/>
    </row>
    <row r="37" ht="16.5" customHeight="1">
      <c r="A37" s="39"/>
      <c r="B37" s="40"/>
      <c r="C37" s="34"/>
      <c r="D37" s="34"/>
      <c r="E37" s="44"/>
      <c r="F37" s="41"/>
      <c r="G37" s="41"/>
      <c r="H37" s="36" t="s">
        <v>274</v>
      </c>
      <c r="I37" s="36" t="s">
        <v>275</v>
      </c>
      <c r="J37" s="43" t="s">
        <v>276</v>
      </c>
      <c r="K37" s="43" t="s">
        <v>277</v>
      </c>
      <c r="L37" s="37" t="s">
        <v>278</v>
      </c>
      <c r="M37" s="38" t="n">
        <f>IF(L37="新增",1,IF(L37="复用",1/3,IF(L37="利旧",0)))</f>
        <v>1</v>
      </c>
      <c r="N37" s="22"/>
      <c r="O37" s="22"/>
      <c r="P37" s="22"/>
      <c r="Q37" s="22"/>
      <c r="R37" s="22"/>
    </row>
    <row r="38" ht="16.5" customHeight="1">
      <c r="A38" s="39"/>
      <c r="B38" s="40"/>
      <c r="C38" s="34"/>
      <c r="D38" s="34"/>
      <c r="E38" s="44" t="s">
        <v>279</v>
      </c>
      <c r="F38" s="35" t="s">
        <v>280</v>
      </c>
      <c r="G38" s="35" t="s">
        <v>281</v>
      </c>
      <c r="H38" s="36" t="s">
        <v>282</v>
      </c>
      <c r="I38" s="36" t="s">
        <v>283</v>
      </c>
      <c r="J38" s="43" t="s">
        <v>284</v>
      </c>
      <c r="K38" s="43" t="s">
        <v>285</v>
      </c>
      <c r="L38" s="37" t="s">
        <v>286</v>
      </c>
      <c r="M38" s="38" t="n">
        <f>IF(L38="新增",1,IF(L38="复用",1/3,IF(L38="利旧",0)))</f>
        <v>1</v>
      </c>
      <c r="N38" s="22"/>
      <c r="O38" s="22"/>
      <c r="P38" s="22"/>
      <c r="Q38" s="22"/>
      <c r="R38" s="22"/>
    </row>
    <row r="39" ht="16.5" customHeight="1">
      <c r="A39" s="39"/>
      <c r="B39" s="40"/>
      <c r="C39" s="34"/>
      <c r="D39" s="34"/>
      <c r="E39" s="44"/>
      <c r="F39" s="41"/>
      <c r="G39" s="41"/>
      <c r="H39" s="36" t="s">
        <v>287</v>
      </c>
      <c r="I39" s="36" t="s">
        <v>288</v>
      </c>
      <c r="J39" s="43" t="s">
        <v>289</v>
      </c>
      <c r="K39" s="43" t="s">
        <v>290</v>
      </c>
      <c r="L39" s="37" t="s">
        <v>291</v>
      </c>
      <c r="M39" s="38" t="n">
        <f>IF(L39="新增",1,IF(L39="复用",1/3,IF(L39="利旧",0)))</f>
        <v>1</v>
      </c>
      <c r="N39" s="22"/>
      <c r="O39" s="22"/>
      <c r="P39" s="22"/>
      <c r="Q39" s="22"/>
      <c r="R39" s="22"/>
    </row>
    <row r="40" ht="49.5" customHeight="1">
      <c r="A40" s="39"/>
      <c r="B40" s="40"/>
      <c r="C40" s="34"/>
      <c r="D40" s="34"/>
      <c r="E40" s="44" t="s">
        <v>292</v>
      </c>
      <c r="F40" s="44" t="s">
        <v>293</v>
      </c>
      <c r="G40" s="44" t="s">
        <v>294</v>
      </c>
      <c r="H40" s="36" t="s">
        <v>295</v>
      </c>
      <c r="I40" s="36" t="s">
        <v>296</v>
      </c>
      <c r="J40" s="43" t="s">
        <v>297</v>
      </c>
      <c r="K40" s="43" t="s">
        <v>298</v>
      </c>
      <c r="L40" s="37" t="s">
        <v>299</v>
      </c>
      <c r="M40" s="38" t="n">
        <f>IF(L40="新增",1,IF(L40="复用",1/3,IF(L40="利旧",0)))</f>
        <v>1</v>
      </c>
      <c r="N40" s="22"/>
      <c r="O40" s="22"/>
      <c r="P40" s="22"/>
      <c r="Q40" s="22"/>
      <c r="R40" s="22"/>
    </row>
    <row r="41" ht="33" customHeight="1">
      <c r="A41" s="39"/>
      <c r="B41" s="40"/>
      <c r="C41" s="34"/>
      <c r="D41" s="34"/>
      <c r="E41" s="44"/>
      <c r="F41" s="44"/>
      <c r="G41" s="44" t="s">
        <v>300</v>
      </c>
      <c r="H41" s="36" t="s">
        <v>301</v>
      </c>
      <c r="I41" s="36" t="s">
        <v>302</v>
      </c>
      <c r="J41" s="43" t="s">
        <v>303</v>
      </c>
      <c r="K41" s="43" t="s">
        <v>304</v>
      </c>
      <c r="L41" s="37" t="s">
        <v>305</v>
      </c>
      <c r="M41" s="38" t="n">
        <f>IF(L41="新增",1,IF(L41="复用",1/3,IF(L41="利旧",0)))</f>
        <v>1</v>
      </c>
      <c r="N41" s="22"/>
      <c r="O41" s="22"/>
      <c r="P41" s="22"/>
      <c r="Q41" s="22"/>
      <c r="R41" s="22"/>
    </row>
    <row r="42" ht="16.5" customHeight="1">
      <c r="A42" s="39"/>
      <c r="B42" s="40"/>
      <c r="C42" s="34"/>
      <c r="D42" s="34"/>
      <c r="E42" s="44" t="s">
        <v>306</v>
      </c>
      <c r="F42" s="35" t="s">
        <v>307</v>
      </c>
      <c r="G42" s="35" t="s">
        <v>308</v>
      </c>
      <c r="H42" s="36" t="s">
        <v>309</v>
      </c>
      <c r="I42" s="36" t="s">
        <v>310</v>
      </c>
      <c r="J42" s="36" t="s">
        <v>311</v>
      </c>
      <c r="K42" s="36" t="s">
        <v>312</v>
      </c>
      <c r="L42" s="37" t="s">
        <v>313</v>
      </c>
      <c r="M42" s="38" t="n">
        <f>IF(L42="新增",1,IF(L42="复用",1/3,IF(L42="利旧",0)))</f>
        <v>1</v>
      </c>
      <c r="N42" s="22"/>
      <c r="O42" s="22"/>
      <c r="P42" s="22"/>
      <c r="Q42" s="22"/>
      <c r="R42" s="22"/>
    </row>
    <row r="43" ht="33" customHeight="1">
      <c r="A43" s="39"/>
      <c r="B43" s="40"/>
      <c r="C43" s="34"/>
      <c r="D43" s="34"/>
      <c r="E43" s="44"/>
      <c r="F43" s="41"/>
      <c r="G43" s="41"/>
      <c r="H43" s="36" t="s">
        <v>314</v>
      </c>
      <c r="I43" s="36" t="s">
        <v>315</v>
      </c>
      <c r="J43" s="36" t="s">
        <v>316</v>
      </c>
      <c r="K43" s="36" t="s">
        <v>317</v>
      </c>
      <c r="L43" s="37" t="s">
        <v>318</v>
      </c>
      <c r="M43" s="38" t="n">
        <f>IF(L43="新增",1,IF(L43="复用",1/3,IF(L43="利旧",0)))</f>
        <v>1</v>
      </c>
      <c r="N43" s="22"/>
      <c r="O43" s="22"/>
      <c r="P43" s="22"/>
      <c r="Q43" s="22"/>
      <c r="R43" s="22"/>
    </row>
    <row r="44" ht="16.5" customHeight="1">
      <c r="A44" s="39"/>
      <c r="B44" s="40"/>
      <c r="C44" s="34"/>
      <c r="D44" s="34"/>
      <c r="E44" s="44" t="s">
        <v>319</v>
      </c>
      <c r="F44" s="44" t="s">
        <v>320</v>
      </c>
      <c r="G44" s="44" t="s">
        <v>321</v>
      </c>
      <c r="H44" s="36" t="s">
        <v>322</v>
      </c>
      <c r="I44" s="36" t="s">
        <v>323</v>
      </c>
      <c r="J44" s="43" t="s">
        <v>324</v>
      </c>
      <c r="K44" s="43" t="s">
        <v>325</v>
      </c>
      <c r="L44" s="37" t="s">
        <v>326</v>
      </c>
      <c r="M44" s="38" t="n">
        <f>IF(L44="新增",1,IF(L44="复用",1/3,IF(L44="利旧",0)))</f>
        <v>1</v>
      </c>
      <c r="N44" s="22"/>
      <c r="O44" s="22"/>
      <c r="P44" s="22"/>
      <c r="Q44" s="22"/>
      <c r="R44" s="22"/>
    </row>
    <row r="45" ht="16.5" customHeight="1">
      <c r="A45" s="39"/>
      <c r="B45" s="40"/>
      <c r="C45" s="34"/>
      <c r="D45" s="34"/>
      <c r="E45" s="44"/>
      <c r="F45" s="44"/>
      <c r="G45" s="44" t="s">
        <v>327</v>
      </c>
      <c r="H45" s="36" t="s">
        <v>328</v>
      </c>
      <c r="I45" s="36" t="s">
        <v>329</v>
      </c>
      <c r="J45" s="43" t="s">
        <v>330</v>
      </c>
      <c r="K45" s="43" t="s">
        <v>331</v>
      </c>
      <c r="L45" s="37" t="s">
        <v>332</v>
      </c>
      <c r="M45" s="38" t="n">
        <f>IF(L45="新增",1,IF(L45="复用",1/3,IF(L45="利旧",0)))</f>
        <v>1</v>
      </c>
      <c r="N45" s="22"/>
      <c r="O45" s="22"/>
      <c r="P45" s="22"/>
      <c r="Q45" s="22"/>
      <c r="R45" s="22"/>
    </row>
    <row r="46" ht="16.5" customHeight="1">
      <c r="A46" s="39"/>
      <c r="B46" s="40"/>
      <c r="C46" s="34"/>
      <c r="D46" s="34" t="s">
        <v>333</v>
      </c>
      <c r="E46" s="44" t="s">
        <v>334</v>
      </c>
      <c r="F46" s="44" t="s">
        <v>335</v>
      </c>
      <c r="G46" s="44" t="s">
        <v>336</v>
      </c>
      <c r="H46" s="36" t="s">
        <v>337</v>
      </c>
      <c r="I46" s="36" t="s">
        <v>338</v>
      </c>
      <c r="J46" s="43" t="s">
        <v>339</v>
      </c>
      <c r="K46" s="43" t="s">
        <v>340</v>
      </c>
      <c r="L46" s="37" t="s">
        <v>341</v>
      </c>
      <c r="M46" s="38" t="n">
        <f>IF(L46="新增",1,IF(L46="复用",1/3,IF(L46="利旧",0)))</f>
        <v>1</v>
      </c>
      <c r="N46" s="22"/>
      <c r="O46" s="22"/>
      <c r="P46" s="22"/>
      <c r="Q46" s="22"/>
      <c r="R46" s="22"/>
    </row>
    <row r="47" ht="49.5" customHeight="1">
      <c r="A47" s="39"/>
      <c r="B47" s="40"/>
      <c r="C47" s="34"/>
      <c r="D47" s="34"/>
      <c r="E47" s="44"/>
      <c r="F47" s="44"/>
      <c r="G47" s="44" t="s">
        <v>342</v>
      </c>
      <c r="H47" s="36" t="s">
        <v>343</v>
      </c>
      <c r="I47" s="36" t="s">
        <v>344</v>
      </c>
      <c r="J47" s="43" t="s">
        <v>345</v>
      </c>
      <c r="K47" s="43" t="s">
        <v>346</v>
      </c>
      <c r="L47" s="37" t="s">
        <v>347</v>
      </c>
      <c r="M47" s="38" t="n">
        <f>IF(L47="新增",1,IF(L47="复用",1/3,IF(L47="利旧",0)))</f>
        <v>1</v>
      </c>
      <c r="N47" s="22"/>
      <c r="O47" s="22"/>
      <c r="P47" s="22"/>
      <c r="Q47" s="22"/>
      <c r="R47" s="22"/>
    </row>
    <row r="48" ht="16.5" customHeight="1">
      <c r="A48" s="39"/>
      <c r="B48" s="40"/>
      <c r="C48" s="34"/>
      <c r="D48" s="34"/>
      <c r="E48" s="44"/>
      <c r="F48" s="44"/>
      <c r="G48" s="44" t="s">
        <v>348</v>
      </c>
      <c r="H48" s="36" t="s">
        <v>349</v>
      </c>
      <c r="I48" s="36" t="s">
        <v>350</v>
      </c>
      <c r="J48" s="43" t="s">
        <v>351</v>
      </c>
      <c r="K48" s="43" t="s">
        <v>352</v>
      </c>
      <c r="L48" s="37" t="s">
        <v>353</v>
      </c>
      <c r="M48" s="38" t="n">
        <f>IF(L48="新增",1,IF(L48="复用",1/3,IF(L48="利旧",0)))</f>
        <v>1</v>
      </c>
      <c r="N48" s="22"/>
      <c r="O48" s="22"/>
      <c r="P48" s="22"/>
      <c r="Q48" s="22"/>
      <c r="R48" s="22"/>
    </row>
    <row r="49" ht="16.5" customHeight="1">
      <c r="A49" s="39"/>
      <c r="B49" s="40"/>
      <c r="C49" s="34"/>
      <c r="D49" s="34" t="s">
        <v>354</v>
      </c>
      <c r="E49" s="44" t="s">
        <v>355</v>
      </c>
      <c r="F49" s="44" t="s">
        <v>356</v>
      </c>
      <c r="G49" s="44" t="s">
        <v>357</v>
      </c>
      <c r="H49" s="36" t="s">
        <v>358</v>
      </c>
      <c r="I49" s="36" t="s">
        <v>359</v>
      </c>
      <c r="J49" s="43" t="s">
        <v>360</v>
      </c>
      <c r="K49" s="43" t="s">
        <v>361</v>
      </c>
      <c r="L49" s="37" t="s">
        <v>362</v>
      </c>
      <c r="M49" s="38" t="n">
        <f>IF(L49="新增",1,IF(L49="复用",1/3,IF(L49="利旧",0)))</f>
        <v>1</v>
      </c>
      <c r="N49" s="22"/>
      <c r="O49" s="22"/>
      <c r="P49" s="22"/>
      <c r="Q49" s="22"/>
      <c r="R49" s="22"/>
    </row>
    <row r="50" ht="16.5" customHeight="1">
      <c r="A50" s="39"/>
      <c r="B50" s="40"/>
      <c r="C50" s="34"/>
      <c r="D50" s="34"/>
      <c r="E50" s="44"/>
      <c r="F50" s="44"/>
      <c r="G50" s="44" t="s">
        <v>363</v>
      </c>
      <c r="H50" s="36" t="s">
        <v>364</v>
      </c>
      <c r="I50" s="36" t="s">
        <v>365</v>
      </c>
      <c r="J50" s="43" t="s">
        <v>366</v>
      </c>
      <c r="K50" s="43" t="s">
        <v>367</v>
      </c>
      <c r="L50" s="37" t="s">
        <v>368</v>
      </c>
      <c r="M50" s="38" t="n">
        <f>IF(L50="新增",1,IF(L50="复用",1/3,IF(L50="利旧",0)))</f>
        <v>1</v>
      </c>
      <c r="N50" s="22"/>
      <c r="O50" s="22"/>
      <c r="P50" s="22"/>
      <c r="Q50" s="22"/>
      <c r="R50" s="22"/>
    </row>
    <row r="51" ht="14" customHeight="1">
      <c r="A51" s="46" t="s">
        <v>369</v>
      </c>
      <c r="B51" s="46"/>
      <c r="C51" s="47"/>
      <c r="D51" s="47"/>
      <c r="E51" s="47"/>
      <c r="F51" s="47"/>
      <c r="G51" s="47"/>
      <c r="H51" s="46"/>
      <c r="I51" s="47"/>
      <c r="J51" s="46"/>
      <c r="K51" s="46"/>
      <c r="L51" s="46"/>
      <c r="M51" s="46"/>
      <c r="N51" s="22"/>
      <c r="O51" s="22"/>
      <c r="P51" s="22"/>
      <c r="Q51" s="22"/>
      <c r="R51" s="22"/>
    </row>
    <row r="52" ht="78" customHeight="1">
      <c r="A52" s="46"/>
      <c r="B52" s="46"/>
      <c r="C52" s="47"/>
      <c r="D52" s="47"/>
      <c r="E52" s="47"/>
      <c r="F52" s="47"/>
      <c r="G52" s="47"/>
      <c r="H52" s="46"/>
      <c r="I52" s="47"/>
      <c r="J52" s="46"/>
      <c r="K52" s="46"/>
      <c r="L52" s="46"/>
      <c r="M52" s="46"/>
      <c r="N52" s="22"/>
      <c r="O52" s="22"/>
      <c r="P52" s="22"/>
      <c r="Q52" s="22"/>
      <c r="R52" s="22"/>
    </row>
    <row r="53">
      <c r="A53" s="22"/>
      <c r="B53" s="22"/>
      <c r="C53" s="48"/>
      <c r="D53" s="48"/>
      <c r="E53" s="48"/>
      <c r="F53" s="48"/>
      <c r="G53" s="48"/>
      <c r="H53" s="22"/>
      <c r="I53" s="48"/>
      <c r="J53" s="22"/>
      <c r="K53" s="22"/>
      <c r="L53" s="22"/>
      <c r="M53" s="22"/>
      <c r="N53" s="22"/>
      <c r="O53" s="22"/>
      <c r="P53" s="22"/>
      <c r="Q53" s="22"/>
      <c r="R53" s="22"/>
    </row>
    <row r="54">
      <c r="A54" s="22"/>
      <c r="B54" s="22"/>
      <c r="C54" s="48"/>
      <c r="D54" s="48"/>
      <c r="E54" s="48"/>
      <c r="F54" s="48"/>
      <c r="G54" s="48"/>
      <c r="H54" s="22"/>
      <c r="I54" s="48"/>
      <c r="J54" s="22"/>
      <c r="K54" s="22"/>
      <c r="L54" s="22"/>
      <c r="M54" s="22"/>
      <c r="N54" s="22"/>
      <c r="O54" s="22"/>
      <c r="P54" s="22"/>
      <c r="Q54" s="22"/>
      <c r="R54" s="22"/>
    </row>
    <row r="55">
      <c r="A55" s="22"/>
      <c r="B55" s="22"/>
      <c r="C55" s="48"/>
      <c r="D55" s="48"/>
      <c r="E55" s="48"/>
      <c r="F55" s="48"/>
      <c r="G55" s="48"/>
      <c r="H55" s="22"/>
      <c r="I55" s="48"/>
      <c r="J55" s="22"/>
      <c r="K55" s="22"/>
      <c r="L55" s="22"/>
      <c r="M55" s="22"/>
      <c r="N55" s="22"/>
      <c r="O55" s="22"/>
      <c r="P55" s="22"/>
      <c r="Q55" s="22"/>
      <c r="R55" s="22"/>
    </row>
    <row r="56">
      <c r="A56" s="22"/>
      <c r="B56" s="22"/>
      <c r="C56" s="48"/>
      <c r="D56" s="48"/>
      <c r="E56" s="48"/>
      <c r="F56" s="48"/>
      <c r="G56" s="48"/>
      <c r="H56" s="22"/>
      <c r="I56" s="48"/>
      <c r="J56" s="22"/>
      <c r="K56" s="22"/>
      <c r="L56" s="22"/>
      <c r="M56" s="22"/>
      <c r="N56" s="22"/>
      <c r="O56" s="22"/>
      <c r="P56" s="22"/>
      <c r="Q56" s="22"/>
      <c r="R56" s="22"/>
    </row>
    <row r="57">
      <c r="A57" s="22"/>
      <c r="B57" s="22"/>
      <c r="C57" s="48"/>
      <c r="D57" s="48"/>
      <c r="E57" s="48"/>
      <c r="F57" s="48"/>
      <c r="G57" s="48"/>
      <c r="H57" s="22"/>
      <c r="I57" s="48"/>
      <c r="J57" s="22"/>
      <c r="K57" s="22"/>
      <c r="L57" s="22"/>
      <c r="M57" s="22"/>
      <c r="N57" s="22"/>
      <c r="O57" s="22"/>
      <c r="P57" s="22"/>
      <c r="Q57" s="22"/>
      <c r="R57" s="22"/>
    </row>
    <row r="58">
      <c r="A58" s="22"/>
      <c r="B58" s="22"/>
      <c r="C58" s="48"/>
      <c r="D58" s="48"/>
      <c r="E58" s="48"/>
      <c r="F58" s="48"/>
      <c r="G58" s="48"/>
      <c r="H58" s="22"/>
      <c r="I58" s="48"/>
      <c r="J58" s="22"/>
      <c r="K58" s="22"/>
      <c r="L58" s="22"/>
      <c r="M58" s="22"/>
      <c r="N58" s="22"/>
      <c r="O58" s="22"/>
      <c r="P58" s="22"/>
      <c r="Q58" s="22"/>
      <c r="R58" s="22"/>
    </row>
    <row r="59">
      <c r="A59" s="22"/>
      <c r="B59" s="22"/>
      <c r="C59" s="48"/>
      <c r="D59" s="48"/>
      <c r="E59" s="48"/>
      <c r="F59" s="48"/>
      <c r="G59" s="48"/>
      <c r="H59" s="22"/>
      <c r="I59" s="48"/>
      <c r="J59" s="22"/>
      <c r="K59" s="22"/>
      <c r="L59" s="22"/>
      <c r="M59" s="22"/>
      <c r="N59" s="22"/>
      <c r="O59" s="22"/>
      <c r="P59" s="22"/>
      <c r="Q59" s="22"/>
      <c r="R59" s="22"/>
    </row>
    <row r="60">
      <c r="A60" s="22"/>
      <c r="B60" s="22"/>
      <c r="C60" s="48"/>
      <c r="D60" s="48"/>
      <c r="E60" s="48"/>
      <c r="F60" s="48"/>
      <c r="G60" s="48"/>
      <c r="H60" s="22"/>
      <c r="I60" s="48"/>
      <c r="J60" s="22"/>
      <c r="K60" s="22"/>
      <c r="L60" s="22"/>
      <c r="M60" s="22"/>
      <c r="N60" s="22"/>
      <c r="O60" s="22"/>
      <c r="P60" s="22"/>
      <c r="Q60" s="22"/>
      <c r="R60" s="22"/>
    </row>
    <row r="61">
      <c r="A61" s="22"/>
      <c r="B61" s="22"/>
      <c r="C61" s="48"/>
      <c r="D61" s="48"/>
      <c r="E61" s="48"/>
      <c r="F61" s="48"/>
      <c r="G61" s="48"/>
      <c r="H61" s="22"/>
      <c r="I61" s="48"/>
      <c r="J61" s="22"/>
      <c r="K61" s="22"/>
      <c r="L61" s="22"/>
      <c r="M61" s="22"/>
      <c r="N61" s="22"/>
      <c r="O61" s="22"/>
      <c r="P61" s="22"/>
      <c r="Q61" s="22"/>
      <c r="R61" s="22"/>
    </row>
    <row r="62">
      <c r="A62" s="22"/>
      <c r="B62" s="22"/>
      <c r="C62" s="48"/>
      <c r="D62" s="48"/>
      <c r="E62" s="48"/>
      <c r="F62" s="48"/>
      <c r="G62" s="48"/>
      <c r="H62" s="22"/>
      <c r="I62" s="48"/>
      <c r="J62" s="22"/>
      <c r="K62" s="22"/>
      <c r="L62" s="22"/>
      <c r="M62" s="22"/>
      <c r="N62" s="22"/>
      <c r="O62" s="22"/>
      <c r="P62" s="22"/>
      <c r="Q62" s="22"/>
      <c r="R62" s="22"/>
    </row>
    <row r="63">
      <c r="A63" s="22"/>
      <c r="B63" s="22"/>
      <c r="C63" s="48"/>
      <c r="D63" s="48"/>
      <c r="E63" s="48"/>
      <c r="F63" s="48"/>
      <c r="G63" s="48"/>
      <c r="H63" s="22"/>
      <c r="I63" s="48"/>
      <c r="J63" s="22"/>
      <c r="K63" s="22"/>
      <c r="L63" s="22"/>
      <c r="M63" s="22"/>
      <c r="N63" s="22"/>
      <c r="O63" s="22"/>
      <c r="P63" s="22"/>
      <c r="Q63" s="22"/>
      <c r="R63" s="22"/>
    </row>
    <row r="64">
      <c r="A64" s="22"/>
      <c r="B64" s="22"/>
      <c r="C64" s="48"/>
      <c r="D64" s="48"/>
      <c r="E64" s="48"/>
      <c r="F64" s="48"/>
      <c r="G64" s="48"/>
      <c r="H64" s="22"/>
      <c r="I64" s="48"/>
      <c r="J64" s="22"/>
      <c r="K64" s="22"/>
      <c r="L64" s="22"/>
      <c r="M64" s="22"/>
      <c r="N64" s="22"/>
      <c r="O64" s="22"/>
      <c r="P64" s="22"/>
      <c r="Q64" s="22"/>
      <c r="R64" s="22"/>
    </row>
    <row r="65">
      <c r="A65" s="22"/>
      <c r="B65" s="22"/>
      <c r="C65" s="48"/>
      <c r="D65" s="48"/>
      <c r="E65" s="48"/>
      <c r="F65" s="48"/>
      <c r="G65" s="48"/>
      <c r="H65" s="22"/>
      <c r="I65" s="48"/>
      <c r="J65" s="22"/>
      <c r="K65" s="22"/>
      <c r="L65" s="22"/>
      <c r="M65" s="22"/>
      <c r="N65" s="22"/>
      <c r="O65" s="22"/>
      <c r="P65" s="22"/>
      <c r="Q65" s="22"/>
      <c r="R65" s="22"/>
    </row>
    <row r="66">
      <c r="A66" s="22"/>
      <c r="B66" s="22"/>
      <c r="C66" s="48"/>
      <c r="D66" s="48"/>
      <c r="E66" s="48"/>
      <c r="F66" s="48"/>
      <c r="G66" s="48"/>
      <c r="H66" s="22"/>
      <c r="I66" s="48"/>
      <c r="J66" s="22"/>
      <c r="K66" s="22"/>
      <c r="L66" s="22"/>
      <c r="M66" s="22"/>
      <c r="N66" s="22"/>
      <c r="O66" s="22"/>
      <c r="P66" s="22"/>
      <c r="Q66" s="22"/>
      <c r="R66" s="22"/>
    </row>
    <row r="67">
      <c r="A67" s="22"/>
      <c r="B67" s="22"/>
      <c r="C67" s="48"/>
      <c r="D67" s="48"/>
      <c r="E67" s="48"/>
      <c r="F67" s="48"/>
      <c r="G67" s="48"/>
      <c r="H67" s="22"/>
      <c r="I67" s="48"/>
      <c r="J67" s="22"/>
      <c r="K67" s="22"/>
      <c r="L67" s="22"/>
      <c r="M67" s="22"/>
      <c r="N67" s="22"/>
      <c r="O67" s="22"/>
      <c r="P67" s="22"/>
      <c r="Q67" s="22"/>
      <c r="R67" s="22"/>
    </row>
    <row r="68">
      <c r="A68" s="22"/>
      <c r="B68" s="22"/>
      <c r="C68" s="48"/>
      <c r="D68" s="48"/>
      <c r="E68" s="48"/>
      <c r="F68" s="48"/>
      <c r="G68" s="48"/>
      <c r="H68" s="22"/>
      <c r="I68" s="48"/>
      <c r="J68" s="22"/>
      <c r="K68" s="22"/>
      <c r="L68" s="22"/>
      <c r="M68" s="22"/>
      <c r="N68" s="22"/>
      <c r="O68" s="22"/>
      <c r="P68" s="22"/>
      <c r="Q68" s="22"/>
      <c r="R68" s="22"/>
    </row>
    <row r="69">
      <c r="A69" s="22"/>
      <c r="B69" s="22"/>
      <c r="C69" s="48"/>
      <c r="D69" s="48"/>
      <c r="E69" s="48"/>
      <c r="F69" s="48"/>
      <c r="G69" s="48"/>
      <c r="H69" s="22"/>
      <c r="I69" s="48"/>
      <c r="J69" s="22"/>
      <c r="K69" s="22"/>
      <c r="L69" s="22"/>
      <c r="M69" s="22"/>
      <c r="N69" s="22"/>
      <c r="O69" s="22"/>
      <c r="P69" s="22"/>
      <c r="Q69" s="22"/>
      <c r="R69" s="22"/>
    </row>
    <row r="70">
      <c r="A70" s="22"/>
      <c r="B70" s="22"/>
      <c r="C70" s="48"/>
      <c r="D70" s="48"/>
      <c r="E70" s="48"/>
      <c r="F70" s="48"/>
      <c r="G70" s="48"/>
      <c r="H70" s="22"/>
      <c r="I70" s="48"/>
      <c r="J70" s="22"/>
      <c r="K70" s="22"/>
      <c r="L70" s="22"/>
      <c r="M70" s="22"/>
      <c r="N70" s="22"/>
      <c r="O70" s="22"/>
      <c r="P70" s="22"/>
      <c r="Q70" s="22"/>
      <c r="R70" s="22"/>
    </row>
    <row r="71">
      <c r="A71" s="22"/>
      <c r="B71" s="22"/>
      <c r="C71" s="48"/>
      <c r="D71" s="48"/>
      <c r="E71" s="48"/>
      <c r="F71" s="48"/>
      <c r="G71" s="48"/>
      <c r="H71" s="22"/>
      <c r="I71" s="48"/>
      <c r="J71" s="22"/>
      <c r="K71" s="22"/>
      <c r="L71" s="22"/>
      <c r="M71" s="22"/>
      <c r="N71" s="22"/>
      <c r="O71" s="22"/>
      <c r="P71" s="22"/>
      <c r="Q71" s="22"/>
      <c r="R71" s="22"/>
    </row>
    <row r="72">
      <c r="A72" s="22"/>
      <c r="B72" s="22"/>
      <c r="C72" s="48"/>
      <c r="D72" s="48"/>
      <c r="E72" s="48"/>
      <c r="F72" s="48"/>
      <c r="G72" s="48"/>
      <c r="H72" s="22"/>
      <c r="I72" s="48"/>
      <c r="J72" s="22"/>
      <c r="K72" s="22"/>
      <c r="L72" s="22"/>
      <c r="M72" s="22"/>
      <c r="N72" s="22"/>
      <c r="O72" s="22"/>
      <c r="P72" s="22"/>
      <c r="Q72" s="22"/>
      <c r="R72" s="22"/>
    </row>
    <row r="73">
      <c r="A73" s="22"/>
      <c r="B73" s="22"/>
      <c r="C73" s="48"/>
      <c r="D73" s="48"/>
      <c r="E73" s="48"/>
      <c r="F73" s="48"/>
      <c r="G73" s="48"/>
      <c r="H73" s="22"/>
      <c r="I73" s="48"/>
      <c r="J73" s="22"/>
      <c r="K73" s="22"/>
      <c r="L73" s="22"/>
      <c r="M73" s="22"/>
      <c r="N73" s="22"/>
      <c r="O73" s="22"/>
      <c r="P73" s="22"/>
      <c r="Q73" s="22"/>
      <c r="R73" s="22"/>
    </row>
  </sheetData>
  <mergeCells count="90">
    <mergeCell ref="A1:M1"/>
    <mergeCell ref="A2:E2"/>
    <mergeCell ref="F2:K2"/>
    <mergeCell ref="L2:M2"/>
    <mergeCell ref="A3:A4"/>
    <mergeCell ref="E3:E4"/>
    <mergeCell ref="F3:F4"/>
    <mergeCell ref="G3:G4"/>
    <mergeCell ref="H3:H4"/>
    <mergeCell ref="I3:I4"/>
    <mergeCell ref="J3:J4"/>
    <mergeCell ref="K3:K4"/>
    <mergeCell ref="L3:L4"/>
    <mergeCell ref="M3:M4"/>
    <mergeCell ref="A6:A50"/>
    <mergeCell ref="B6:B50"/>
    <mergeCell ref="C6:C50"/>
    <mergeCell ref="D6:D7"/>
    <mergeCell ref="E6:E7"/>
    <mergeCell ref="F6:F7"/>
    <mergeCell ref="G6:G7"/>
    <mergeCell ref="D8:D21"/>
    <mergeCell ref="E8:E9"/>
    <mergeCell ref="F8:F9"/>
    <mergeCell ref="G8:G9"/>
    <mergeCell ref="E10:E11"/>
    <mergeCell ref="F10:F11"/>
    <mergeCell ref="G10:G11"/>
    <mergeCell ref="E12:E13"/>
    <mergeCell ref="F12:F13"/>
    <mergeCell ref="G12:G13"/>
    <mergeCell ref="E14:E15"/>
    <mergeCell ref="F14:F15"/>
    <mergeCell ref="G14:G15"/>
    <mergeCell ref="E16:E17"/>
    <mergeCell ref="F16:F17"/>
    <mergeCell ref="G16:G17"/>
    <mergeCell ref="E18:E19"/>
    <mergeCell ref="F18:F19"/>
    <mergeCell ref="G18:G19"/>
    <mergeCell ref="E20:E21"/>
    <mergeCell ref="F20:F21"/>
    <mergeCell ref="G20:G21"/>
    <mergeCell ref="D22:D29"/>
    <mergeCell ref="E22:E23"/>
    <mergeCell ref="F22:F23"/>
    <mergeCell ref="G22:G23"/>
    <mergeCell ref="E24:E25"/>
    <mergeCell ref="F24:F25"/>
    <mergeCell ref="G24:G25"/>
    <mergeCell ref="E26:E27"/>
    <mergeCell ref="F26:F27"/>
    <mergeCell ref="G26:G27"/>
    <mergeCell ref="E28:E29"/>
    <mergeCell ref="F28:F29"/>
    <mergeCell ref="G28:G29"/>
    <mergeCell ref="D30:D45"/>
    <mergeCell ref="E30:E31"/>
    <mergeCell ref="F30:F31"/>
    <mergeCell ref="G30:G31"/>
    <mergeCell ref="E32:E33"/>
    <mergeCell ref="F32:F33"/>
    <mergeCell ref="G32:G33"/>
    <mergeCell ref="E34:E35"/>
    <mergeCell ref="F34:F35"/>
    <mergeCell ref="G34:G35"/>
    <mergeCell ref="E36:E37"/>
    <mergeCell ref="F36:F37"/>
    <mergeCell ref="G36:G37"/>
    <mergeCell ref="E38:E39"/>
    <mergeCell ref="F38:F39"/>
    <mergeCell ref="G38:G39"/>
    <mergeCell ref="E40:E41"/>
    <mergeCell ref="F40:F41"/>
    <mergeCell ref="G40:G41"/>
    <mergeCell ref="E42:E43"/>
    <mergeCell ref="F42:F43"/>
    <mergeCell ref="G42:G43"/>
    <mergeCell ref="E44:E45"/>
    <mergeCell ref="F44:F45"/>
    <mergeCell ref="G44:G45"/>
    <mergeCell ref="D46:D48"/>
    <mergeCell ref="E46:E48"/>
    <mergeCell ref="F46:F48"/>
    <mergeCell ref="G46:G48"/>
    <mergeCell ref="D49:D50"/>
    <mergeCell ref="E49:E50"/>
    <mergeCell ref="F49:F50"/>
    <mergeCell ref="G49:G50"/>
    <mergeCell ref="A51:M52"/>
  </mergeCells>
  <conditionalFormatting sqref="K6:K50">
    <cfRule type="duplicateValues" dxfId="0" priority="1"/>
  </conditionalFormatting>
  <conditionalFormatting sqref="J6:J50">
    <cfRule type="duplicateValues" dxfId="1" priority="2"/>
  </conditionalFormatting>
  <dataValidations count="3">
    <dataValidation type="custom" errorStyle="warning" allowBlank="1" showDropDown="1" showInputMessage="0" showErrorMessage="1" errorTitle="" error="当前输入的内容，与本区域的其他单元格内容重复。" sqref="K51:K74 K30:K50 K1:K17 K20:K25 K18:K19 K26:K29">
      <formula1>COUNTIF($K:$K,K1)&lt;2</formula1>
    </dataValidation>
    <dataValidation type="list" errorStyle="stop" allowBlank="1" showDropDown="0" showInputMessage="1" showErrorMessage="1" errorTitle="" error="请输入一个列表中的值" promptTitle="" prompt="" sqref="L25:L29 L20:L24 L30:L50 L17:L19 L6:L16">
      <formula1>"新增,复用,利旧"</formula1>
    </dataValidation>
    <dataValidation type="custom" errorStyle="warning" allowBlank="1" showDropDown="1" showInputMessage="0" showErrorMessage="1" errorTitle="" error="当前输入的内容，与本区域的其他单元格内容重复。" sqref="J30:J50 J51:J74 J26:J29 J1:J17 J20:J25 J18:J19">
      <formula1>COUNTIF($J:$J,J1)&lt;2</formula1>
    </dataValidation>
  </dataValidations>
  <pageMargins left="0.69930556" right="0.69930556" top="0.75" bottom="0.75" header="0.3" footer="0.3"/>
  <pageSetup paperSize="9" orientation="portrait"/>
  <headerFooter/>
</worksheet>
</file>