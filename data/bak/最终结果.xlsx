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s>
  <calcPr calcId="0" fullCalcOnLoad="1" iterate="0"/>
</workbook>
</file>

<file path=xl/styles.xml><?xml version="1.0" encoding="utf-8"?>
<styleSheet xmlns="http://schemas.openxmlformats.org/spreadsheetml/2006/main">
  <numFmts count="1">
    <numFmt numFmtId="164" formatCode="0.00_ "/>
  </numFmts>
  <fonts count="12">
    <font>
      <name val="等线"/>
      <charset val="134"/>
      <color theme="1"/>
      <sz val="12"/>
      <scheme val="minor"/>
    </font>
    <font>
      <name val="宋体"/>
      <b val="1"/>
      <color rgb="00FF0000"/>
      <sz val="12"/>
    </font>
    <font>
      <name val="宋体"/>
      <sz val="12"/>
    </font>
    <font>
      <name val="宋体"/>
      <b val="1"/>
      <sz val="14"/>
    </font>
    <font>
      <name val="宋体"/>
      <sz val="11"/>
    </font>
    <font>
      <name val="宋体"/>
      <sz val="9"/>
    </font>
    <font>
      <name val="Microsoft YaHei"/>
      <sz val="11"/>
    </font>
    <font>
      <name val="Times New Roman"/>
      <sz val="11"/>
    </font>
    <font>
      <name val="宋体"/>
      <color rgb="00FF0000"/>
      <sz val="11"/>
    </font>
    <font>
      <name val="Microsoft YaHei"/>
      <sz val="6"/>
    </font>
    <font>
      <name val="Calibri"/>
      <family val="2"/>
      <color theme="1"/>
      <sz val="12"/>
      <scheme val="minor"/>
    </font>
    <font>
      <name val="微软雅黑"/>
      <color rgb="FF000000"/>
      <sz val="11"/>
    </font>
  </fonts>
  <fills count="11">
    <fill>
      <patternFill/>
    </fill>
    <fill>
      <patternFill patternType="gray125"/>
    </fill>
    <fill>
      <patternFill patternType="solid">
        <fgColor rgb="00FFFF00"/>
      </patternFill>
    </fill>
    <fill>
      <patternFill patternType="solid">
        <fgColor rgb="00A5B6CA"/>
      </patternFill>
    </fill>
    <fill>
      <patternFill patternType="solid">
        <fgColor rgb="00BFBFBF"/>
      </patternFill>
    </fill>
    <fill>
      <patternFill patternType="solid">
        <fgColor rgb="00D8D8D8"/>
      </patternFill>
    </fill>
    <fill>
      <patternFill patternType="solid">
        <fgColor rgb="0092D050"/>
      </patternFill>
    </fill>
    <fill>
      <patternFill patternType="solid">
        <fgColor rgb="00A5A5A5"/>
      </patternFill>
    </fill>
    <fill>
      <patternFill patternType="solid">
        <fgColor rgb="00FF0000"/>
      </patternFill>
    </fill>
    <fill>
      <patternFill patternType="solid">
        <fgColor rgb="0000B0F0"/>
      </patternFill>
    </fill>
    <fill>
      <patternFill patternType="solid"/>
    </fill>
  </fills>
  <borders count="20">
    <border/>
    <border>
      <left style="thin">
        <color rgb="002b2b2b"/>
      </left>
      <top style="thin">
        <color rgb="002b2b2b"/>
      </top>
      <bottom style="thin">
        <color rgb="002b2b2b"/>
      </bottom>
    </border>
    <border>
      <right style="thin">
        <color rgb="002b2b2b"/>
      </right>
      <top style="thin">
        <color rgb="002b2b2b"/>
      </top>
      <bottom style="thin">
        <color rgb="002b2b2b"/>
      </bottom>
    </border>
    <border>
      <left style="thin">
        <color rgb="002b2b2b"/>
      </left>
      <right style="thin">
        <color rgb="002b2b2b"/>
      </right>
      <top style="thin">
        <color rgb="002b2b2b"/>
      </top>
      <bottom style="thin">
        <color rgb="002b2b2b"/>
      </bottom>
    </border>
    <border>
      <right style="thin">
        <color rgb="002b2b2b"/>
      </right>
      <top style="thin">
        <color rgb="002b2b2b"/>
      </top>
    </border>
    <border>
      <left style="thin">
        <color rgb="002b2b2b"/>
      </left>
      <right style="thin">
        <color rgb="002b2b2b"/>
      </right>
      <top style="thin">
        <color rgb="002b2b2b"/>
      </top>
    </border>
    <border>
      <right style="thin">
        <color rgb="002b2b2b"/>
      </right>
    </border>
    <border>
      <left style="thin">
        <color rgb="002b2b2b"/>
      </left>
      <right style="thin">
        <color rgb="002b2b2b"/>
      </right>
    </border>
    <border>
      <left style="thin">
        <color rgb="002b2b2b"/>
      </left>
      <right style="thin">
        <color rgb="002b2b2b"/>
      </right>
      <bottom style="thin">
        <color rgb="002b2b2b"/>
      </bottom>
    </border>
    <border>
      <left/>
      <right/>
      <top/>
      <bottom/>
      <diagonal/>
    </border>
    <border>
      <top style="thin">
        <color rgb="002b2b2b"/>
      </top>
    </border>
    <border>
      <top style="thin">
        <color rgb="002b2b2b"/>
      </top>
      <bottom style="thin">
        <color rgb="002b2b2b"/>
      </bottom>
    </border>
    <border>
      <left style="thin">
        <color rgb="002b2b2b"/>
      </left>
    </border>
    <border>
      <left style="thin">
        <color rgb="002b2b2b"/>
      </left>
      <bottom style="thin">
        <color rgb="002b2b2b"/>
      </bottom>
    </border>
    <border>
      <bottom style="thin">
        <color rgb="002b2b2b"/>
      </bottom>
    </border>
    <border>
      <right style="thin">
        <color rgb="002b2b2b"/>
      </right>
      <bottom style="thin">
        <color rgb="002b2b2b"/>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10" fillId="0" borderId="9"/>
  </cellStyleXfs>
  <cellXfs count="59">
    <xf numFmtId="0" fontId="0" fillId="0" borderId="0" pivotButton="0" quotePrefix="0" xfId="0"/>
    <xf numFmtId="0" fontId="1" fillId="2" borderId="1" applyAlignment="1" pivotButton="0" quotePrefix="0" xfId="0">
      <alignment vertical="center" wrapText="1"/>
    </xf>
    <xf numFmtId="0" fontId="2" fillId="2" borderId="2" applyAlignment="1" pivotButton="0" quotePrefix="0" xfId="0">
      <alignment vertical="center" wrapText="1"/>
    </xf>
    <xf numFmtId="0" fontId="1" fillId="3" borderId="3" applyAlignment="1" pivotButton="0" quotePrefix="0" xfId="0">
      <alignment horizontal="center" vertical="center"/>
    </xf>
    <xf numFmtId="0" fontId="2" fillId="0" borderId="3" applyAlignment="1" pivotButton="0" quotePrefix="0" xfId="0">
      <alignment vertical="center"/>
    </xf>
    <xf numFmtId="0" fontId="1" fillId="0" borderId="3" applyAlignment="1" pivotButton="0" quotePrefix="0" xfId="0">
      <alignment horizontal="center" vertical="center"/>
    </xf>
    <xf numFmtId="0" fontId="1" fillId="4" borderId="3" applyAlignment="1" pivotButton="0" quotePrefix="0" xfId="0">
      <alignment horizontal="center" vertical="center"/>
    </xf>
    <xf numFmtId="0" fontId="1" fillId="5" borderId="3" applyAlignment="1" pivotButton="0" quotePrefix="0" xfId="0">
      <alignment horizontal="center" vertical="center"/>
    </xf>
    <xf numFmtId="0" fontId="1" fillId="6" borderId="3" applyAlignment="1" pivotButton="0" quotePrefix="0" xfId="0">
      <alignment horizontal="center" vertical="center"/>
    </xf>
    <xf numFmtId="0" fontId="3" fillId="7"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wrapText="1"/>
    </xf>
    <xf numFmtId="0" fontId="5" fillId="0" borderId="0" applyAlignment="1" pivotButton="0" quotePrefix="0" xfId="0">
      <alignment vertical="center"/>
    </xf>
    <xf numFmtId="0" fontId="4" fillId="8" borderId="0" applyAlignment="1" pivotButton="0" quotePrefix="0" xfId="0">
      <alignment vertical="center"/>
    </xf>
    <xf numFmtId="0" fontId="2" fillId="0" borderId="0" applyAlignment="1" pivotButton="0" quotePrefix="0" xfId="0">
      <alignment vertical="center"/>
    </xf>
    <xf numFmtId="0" fontId="2" fillId="9" borderId="0" applyAlignment="1" pivotButton="0" quotePrefix="0" xfId="0">
      <alignment vertical="center"/>
    </xf>
    <xf numFmtId="0" fontId="2" fillId="10" borderId="0" applyAlignment="1" pivotButton="0" quotePrefix="0" xfId="0">
      <alignment vertical="center"/>
    </xf>
    <xf numFmtId="0" fontId="6" fillId="7" borderId="3" applyAlignment="1" pivotButton="0" quotePrefix="0" xfId="0">
      <alignment horizontal="center" vertical="center" wrapText="1"/>
    </xf>
    <xf numFmtId="164" fontId="6" fillId="7" borderId="3" applyAlignment="1" pivotButton="0" quotePrefix="0" xfId="0">
      <alignment horizontal="center" vertical="center" wrapText="1"/>
    </xf>
    <xf numFmtId="0" fontId="7" fillId="0" borderId="0" applyAlignment="1" pivotButton="0" quotePrefix="0" xfId="0">
      <alignment vertical="center" wrapText="1"/>
    </xf>
    <xf numFmtId="0" fontId="6" fillId="7" borderId="2" applyAlignment="1" pivotButton="0" quotePrefix="0" xfId="0">
      <alignment horizontal="center" vertical="center" wrapText="1"/>
    </xf>
    <xf numFmtId="0" fontId="6" fillId="7" borderId="4" applyAlignment="1" pivotButton="0" quotePrefix="0" xfId="0">
      <alignment horizontal="center" vertical="center" wrapText="1"/>
    </xf>
    <xf numFmtId="0" fontId="6" fillId="7" borderId="5" applyAlignment="1" pivotButton="0" quotePrefix="0" xfId="0">
      <alignment horizontal="center" vertical="center" wrapText="1"/>
    </xf>
    <xf numFmtId="164" fontId="6" fillId="7" borderId="5" applyAlignment="1" pivotButton="0" quotePrefix="0" xfId="0">
      <alignment horizontal="center" vertical="center" wrapText="1"/>
    </xf>
    <xf numFmtId="0" fontId="6" fillId="7" borderId="6" applyAlignment="1" pivotButton="0" quotePrefix="0" xfId="0">
      <alignment horizontal="center" vertical="center" wrapText="1"/>
    </xf>
    <xf numFmtId="0" fontId="6" fillId="7" borderId="7" applyAlignment="1" pivotButton="0" quotePrefix="0" xfId="0">
      <alignment horizontal="center" vertical="center" wrapText="1"/>
    </xf>
    <xf numFmtId="164" fontId="6" fillId="7" borderId="7" applyAlignment="1" pivotButton="0" quotePrefix="0" xfId="0">
      <alignment horizontal="center" vertical="center" wrapText="1"/>
    </xf>
    <xf numFmtId="0" fontId="8" fillId="0" borderId="3" applyAlignment="1" pivotButton="0" quotePrefix="0" xfId="0">
      <alignment vertical="center" wrapText="1"/>
    </xf>
    <xf numFmtId="0" fontId="8" fillId="0" borderId="3" applyAlignment="1" pivotButton="0" quotePrefix="0" xfId="0">
      <alignment horizontal="center" vertical="center" wrapText="1"/>
    </xf>
    <xf numFmtId="0" fontId="4" fillId="0" borderId="5" applyAlignment="1" pivotButton="0" quotePrefix="0" xfId="0">
      <alignment horizontal="center" vertical="center" wrapText="1"/>
    </xf>
    <xf numFmtId="1" fontId="6" fillId="0" borderId="5" applyAlignment="1" pivotButton="0" quotePrefix="0" xfId="0">
      <alignment horizontal="center" vertical="center" wrapText="1"/>
    </xf>
    <xf numFmtId="1" fontId="6" fillId="0" borderId="3" applyAlignment="1" pivotButton="0" quotePrefix="0" xfId="0">
      <alignment horizontal="center" vertical="center" wrapText="1"/>
    </xf>
    <xf numFmtId="0" fontId="6" fillId="0" borderId="5" applyAlignment="1" pivotButton="0" quotePrefix="0" xfId="0">
      <alignment horizontal="center" vertical="center" wrapText="1"/>
    </xf>
    <xf numFmtId="1" fontId="6" fillId="0" borderId="3" applyAlignment="1" pivotButton="0" quotePrefix="0" xfId="0">
      <alignment horizontal="left" vertical="center" wrapText="1"/>
    </xf>
    <xf numFmtId="0" fontId="4" fillId="0" borderId="3" applyAlignment="1" pivotButton="0" quotePrefix="0" xfId="0">
      <alignment horizontal="center" vertical="center" wrapText="1"/>
    </xf>
    <xf numFmtId="164" fontId="4" fillId="6" borderId="3" applyAlignment="1" pivotButton="0" quotePrefix="0" xfId="0">
      <alignment horizontal="center" vertical="center" wrapText="1"/>
    </xf>
    <xf numFmtId="0" fontId="4" fillId="0" borderId="7" applyAlignment="1" pivotButton="0" quotePrefix="0" xfId="0">
      <alignment horizontal="center" vertical="center" wrapText="1"/>
    </xf>
    <xf numFmtId="1" fontId="6" fillId="0" borderId="7"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0" fontId="6" fillId="0" borderId="3" applyAlignment="1" pivotButton="0" quotePrefix="0" xfId="0">
      <alignment horizontal="left" vertical="center" wrapText="1"/>
    </xf>
    <xf numFmtId="0" fontId="6" fillId="0" borderId="3" applyAlignment="1" pivotButton="0" quotePrefix="0" xfId="0">
      <alignment horizontal="center" vertical="center" wrapText="1"/>
    </xf>
    <xf numFmtId="1" fontId="6" fillId="0" borderId="8" applyAlignment="1" pivotButton="0" quotePrefix="0" xfId="0">
      <alignment horizontal="center" vertical="center" wrapText="1"/>
    </xf>
    <xf numFmtId="0" fontId="9" fillId="0" borderId="3" applyAlignment="1" pivotButton="0" quotePrefix="0" xfId="0">
      <alignment vertical="center" wrapText="1"/>
    </xf>
    <xf numFmtId="0" fontId="9" fillId="0" borderId="3" applyAlignment="1" pivotButton="0" quotePrefix="0" xfId="0">
      <alignment horizontal="center" vertical="center" wrapText="1"/>
    </xf>
    <xf numFmtId="0" fontId="7" fillId="0" borderId="0" applyAlignment="1" pivotButton="0" quotePrefix="0" xfId="0">
      <alignment horizontal="center" vertical="center" wrapText="1"/>
    </xf>
    <xf numFmtId="0" fontId="1" fillId="2" borderId="3" applyAlignment="1" pivotButton="0" quotePrefix="0" xfId="0">
      <alignment vertical="center" wrapText="1"/>
    </xf>
    <xf numFmtId="0" fontId="0" fillId="0" borderId="2" pivotButton="0" quotePrefix="0" xfId="0"/>
    <xf numFmtId="0" fontId="0" fillId="0" borderId="11" pivotButton="0" quotePrefix="0" xfId="0"/>
    <xf numFmtId="0" fontId="0" fillId="0" borderId="6" pivotButton="0" quotePrefix="0" xfId="0"/>
    <xf numFmtId="0" fontId="0" fillId="0" borderId="7" pivotButton="0" quotePrefix="0" xfId="0"/>
    <xf numFmtId="0" fontId="11" fillId="0" borderId="16" applyAlignment="1" pivotButton="0" quotePrefix="0" xfId="0">
      <alignment horizontal="center" vertical="center" wrapText="1"/>
    </xf>
    <xf numFmtId="0" fontId="11" fillId="0" borderId="16" applyAlignment="1" pivotButton="0" quotePrefix="0" xfId="0">
      <alignment horizontal="left" vertical="center" wrapText="1"/>
    </xf>
    <xf numFmtId="0" fontId="11" fillId="6" borderId="16" applyAlignment="1" pivotButton="0" quotePrefix="0" xfId="0">
      <alignment horizontal="center" vertical="center" wrapText="1"/>
    </xf>
    <xf numFmtId="0" fontId="0" fillId="0" borderId="18" pivotButton="0" quotePrefix="0" xfId="0"/>
    <xf numFmtId="0" fontId="0" fillId="0" borderId="19" pivotButton="0" quotePrefix="0" xfId="0"/>
  </cellXfs>
  <cellStyles count="1">
    <cellStyle name="Normal" xfId="0" builtinId="0" hidden="0"/>
  </cellStyles>
  <dxfs count="2">
    <dxf>
      <font>
        <strike val="0"/>
        <color rgb="009C0006"/>
      </font>
      <fill>
        <patternFill>
          <bgColor rgb="00FFC7CE"/>
        </patternFill>
      </fill>
    </dxf>
    <dxf>
      <font>
        <strike val="0"/>
        <color rgb="009C0006"/>
      </font>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tabSelected="1" workbookViewId="0">
      <selection activeCell="A1" sqref="A1"/>
    </sheetView>
  </sheetViews>
  <sheetFormatPr baseColWidth="10" defaultRowHeight="16" customHeight="0" zeroHeight="0" thickTop="0" thickBottom="0"/>
  <cols>
    <col width="15.663636" customWidth="1" min="1" max="1"/>
    <col width="100" customWidth="1" min="2" max="2"/>
    <col width="9" customWidth="1" min="3" max="18"/>
  </cols>
  <sheetData>
    <row r="1" ht="108.75" customHeight="1">
      <c r="A1" s="49"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50" t="n"/>
    </row>
    <row r="4" ht="15" customHeight="1">
      <c r="A4" s="3" t="inlineStr">
        <is>
          <t>蓝色单元格</t>
        </is>
      </c>
      <c r="B4" s="4" t="inlineStr">
        <is>
          <t>关联填写“功能规模（功能点）”值和类比计算填入“工期（人天）”数</t>
        </is>
      </c>
    </row>
    <row r="5" ht="15" customHeight="1">
      <c r="A5" s="5" t="inlineStr">
        <is>
          <t>白色单元格</t>
        </is>
      </c>
      <c r="B5" s="4" t="inlineStr">
        <is>
          <t>填写建设目标和建设必要性，绘制环境图，功能点拆分填写、下拉选择单元</t>
        </is>
      </c>
    </row>
    <row r="6" ht="15" customHeight="1">
      <c r="A6" s="6" t="inlineStr">
        <is>
          <t>深灰单元格</t>
        </is>
      </c>
      <c r="B6" s="4" t="inlineStr">
        <is>
          <t>模板格式说明部分，不得修改</t>
        </is>
      </c>
    </row>
    <row r="7" ht="15" customHeight="1">
      <c r="A7" s="7" t="inlineStr">
        <is>
          <t>浅灰单元格</t>
        </is>
      </c>
      <c r="B7" s="4" t="inlineStr">
        <is>
          <t>模板参数部分，默认为国际标准推荐取值，各省可按直接使用，也可以按照实际情况适当调参。</t>
        </is>
      </c>
    </row>
    <row r="8" ht="15" customHeight="1">
      <c r="A8" s="8" t="inlineStr">
        <is>
          <t>绿色单元格</t>
        </is>
      </c>
      <c r="B8" s="4" t="inlineStr">
        <is>
          <t>自动计算或引用数据，不得修改</t>
        </is>
      </c>
    </row>
  </sheetData>
  <mergeCells count="1">
    <mergeCell ref="A1:B1"/>
  </mergeCells>
  <pageMargins left="0.69930556" right="0.69930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R26"/>
  <sheetViews>
    <sheetView tabSelected="0" workbookViewId="0">
      <selection activeCell="A1" sqref="A1"/>
    </sheetView>
  </sheetViews>
  <sheetFormatPr baseColWidth="10" defaultRowHeight="16" customHeight="0" zeroHeight="0" thickTop="0" thickBottom="0"/>
  <cols>
    <col width="9" customWidth="1" min="1" max="12"/>
    <col width="47.763638" customWidth="1" min="13" max="13"/>
    <col width="9" customWidth="1" min="14" max="18"/>
  </cols>
  <sheetData>
    <row r="1" ht="22.05" customHeight="1">
      <c r="A1" s="9" t="inlineStr">
        <is>
          <t>1. 建设目标</t>
        </is>
      </c>
      <c r="B1" s="9" t="n"/>
      <c r="C1" s="9" t="n"/>
      <c r="D1" s="9" t="n"/>
      <c r="E1" s="9" t="n"/>
      <c r="M1" s="10" t="n"/>
    </row>
    <row r="2" ht="45" customHeight="1">
      <c r="A2" s="11" t="inlineStr">
        <is>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is>
      </c>
    </row>
    <row r="3" ht="30" customHeight="1">
      <c r="N3" s="10" t="n"/>
      <c r="O3" s="10" t="n"/>
      <c r="P3" s="10" t="n"/>
      <c r="Q3" s="10" t="n"/>
      <c r="R3" s="10" t="n"/>
    </row>
    <row r="4" ht="22.05" customHeight="1">
      <c r="A4" s="9" t="inlineStr">
        <is>
          <t>2.建设必要性</t>
        </is>
      </c>
      <c r="B4" s="9" t="n"/>
      <c r="C4" s="9" t="n"/>
      <c r="D4" s="9" t="n"/>
      <c r="E4" s="9" t="n"/>
      <c r="N4" s="10" t="n"/>
      <c r="O4" s="10" t="n"/>
      <c r="P4" s="10" t="n"/>
      <c r="Q4" s="10" t="n"/>
      <c r="R4" s="10" t="n"/>
    </row>
    <row r="5" ht="29" customHeight="1">
      <c r="A5" s="11" t="inlineStr">
        <is>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is>
      </c>
      <c r="N5" s="10" t="n"/>
      <c r="O5" s="10" t="n"/>
      <c r="P5" s="10" t="n"/>
      <c r="Q5" s="10" t="n"/>
      <c r="R5" s="10" t="n"/>
    </row>
    <row r="6" ht="42" customHeight="1">
      <c r="N6" s="10" t="n"/>
      <c r="O6" s="10" t="n"/>
      <c r="P6" s="10" t="n"/>
      <c r="Q6" s="10" t="n"/>
      <c r="R6" s="10" t="n"/>
    </row>
    <row r="7" ht="22.05" customHeight="1">
      <c r="A7" s="9" t="inlineStr">
        <is>
          <t>3. 系统架构图</t>
        </is>
      </c>
      <c r="B7" s="9" t="n"/>
      <c r="C7" s="9" t="n"/>
      <c r="D7" s="9" t="n"/>
      <c r="E7" s="9" t="n"/>
      <c r="N7" s="10" t="n"/>
      <c r="O7" s="10" t="n"/>
      <c r="P7" s="10" t="n"/>
      <c r="Q7" s="10" t="n"/>
      <c r="R7" s="10" t="n"/>
    </row>
    <row r="8" ht="22.05" customHeight="1">
      <c r="A8" s="12" t="n"/>
      <c r="N8" s="10" t="n"/>
      <c r="O8" s="10" t="n"/>
      <c r="P8" s="10" t="n"/>
      <c r="Q8" s="10" t="n"/>
      <c r="R8" s="10" t="n"/>
    </row>
    <row r="9" ht="246" customHeight="1"/>
    <row r="10" ht="22.05" customHeight="1">
      <c r="A10" s="13" t="inlineStr">
        <is>
          <t xml:space="preserve">                                 图3.1 关于和乐业务叠加态业务办理的需求的一级功能示意图</t>
        </is>
      </c>
    </row>
    <row r="11" ht="22.05" customHeight="1">
      <c r="A11" s="10" t="inlineStr">
        <is>
          <t>如图3.1所示  为了实现关于和乐业务叠加态业务办理的需求，本次主要新增地市后台小福包专区、用户前台等模块。</t>
        </is>
      </c>
    </row>
    <row r="12" ht="22.05" customHeight="1"/>
    <row r="13" ht="22.05" customHeight="1"/>
    <row r="14" ht="204" customHeight="1">
      <c r="A14" s="10" t="n"/>
    </row>
    <row r="15" ht="22.05" customHeight="1">
      <c r="A15" s="13" t="inlineStr">
        <is>
          <t xml:space="preserve">                               图3.2 关于和乐业务叠加态业务办理的需求二级功能示意图</t>
        </is>
      </c>
    </row>
    <row r="16" ht="22.05" customHeight="1">
      <c r="A16" s="14" t="inlineStr">
        <is>
          <t>如3.2所示 此架构图为一级功能的细化，本次主要本次主要新增装修管理、小福包产品管理、订单管理、店铺装修链接选择器、小福包首页页面、小福包下单页面、订单详情等模块</t>
        </is>
      </c>
    </row>
    <row r="17" ht="22.05" customHeight="1"/>
    <row r="18" ht="22.05" customHeight="1"/>
    <row r="19" ht="22.05" customHeight="1">
      <c r="A19" s="15" t="inlineStr">
        <is>
          <t>图例：</t>
        </is>
      </c>
      <c r="B19" s="16" t="n"/>
      <c r="C19" s="17" t="inlineStr">
        <is>
          <t>红色字体为新增模块</t>
        </is>
      </c>
      <c r="D19" s="11" t="n"/>
    </row>
    <row r="20" ht="22.05" customHeight="1">
      <c r="A20" s="17" t="n"/>
      <c r="B20" s="18" t="n"/>
      <c r="C20" s="17" t="inlineStr">
        <is>
          <t>蓝色字体为优化模块</t>
        </is>
      </c>
      <c r="D20" s="17" t="n"/>
    </row>
    <row r="21" ht="22.05" customHeight="1">
      <c r="A21" s="17" t="n"/>
      <c r="B21" s="19" t="n"/>
      <c r="C21" s="17" t="inlineStr">
        <is>
          <t>黑色字体原有模块</t>
        </is>
      </c>
      <c r="D21" s="17" t="n"/>
      <c r="N21" s="12" t="n"/>
    </row>
    <row r="22" ht="22.05" customHeight="1">
      <c r="A22" s="17" t="n"/>
      <c r="B22" s="17" t="n"/>
      <c r="C22" s="17" t="n"/>
      <c r="D22" s="17" t="n"/>
      <c r="N22" s="12" t="n"/>
    </row>
    <row r="23" ht="22.05" customHeight="1"/>
    <row r="24" ht="22.05" customHeight="1"/>
    <row r="25" ht="22.05" customHeight="1">
      <c r="A25" s="9" t="inlineStr">
        <is>
          <t>4. 关键时序图/业务逻辑图</t>
        </is>
      </c>
      <c r="B25" s="9" t="n"/>
      <c r="C25" s="9" t="n"/>
      <c r="D25" s="9" t="n"/>
      <c r="E25" s="9" t="n"/>
    </row>
    <row r="26" ht="22.05" customHeight="1">
      <c r="A26" s="15" t="inlineStr">
        <is>
          <t>无</t>
        </is>
      </c>
    </row>
  </sheetData>
  <mergeCells count="8">
    <mergeCell ref="A14:M14"/>
    <mergeCell ref="A2:M3"/>
    <mergeCell ref="A5:M6"/>
    <mergeCell ref="A8:M9"/>
    <mergeCell ref="A16:M18"/>
    <mergeCell ref="A15:M15"/>
    <mergeCell ref="A11:M13"/>
    <mergeCell ref="A10:M10"/>
  </mergeCells>
  <pageMargins left="0.69930556" right="0.69930556" top="0.75" bottom="0.75" header="0.3" footer="0.3"/>
</worksheet>
</file>

<file path=xl/worksheets/sheet3.xml><?xml version="1.0" encoding="utf-8"?>
<worksheet xmlns="http://schemas.openxmlformats.org/spreadsheetml/2006/main">
  <sheetPr>
    <outlinePr summaryBelow="1" summaryRight="1"/>
    <pageSetUpPr/>
  </sheetPr>
  <dimension ref="A1:R193"/>
  <sheetViews>
    <sheetView tabSelected="0" workbookViewId="0">
      <selection activeCell="A1" sqref="A1"/>
    </sheetView>
  </sheetViews>
  <sheetFormatPr baseColWidth="10" defaultRowHeight="16" customHeight="0" zeroHeight="0" thickTop="0" thickBottom="0"/>
  <cols>
    <col width="15.545455" customWidth="1" min="1" max="2"/>
    <col width="13" customWidth="1" min="2" max="2"/>
    <col width="14.636364" customWidth="1" min="3" max="3"/>
    <col width="14.818181" customWidth="1" min="4" max="4"/>
    <col width="20.818182" customWidth="1" min="5" max="5"/>
    <col width="20.636362" customWidth="1" min="6" max="6"/>
    <col width="41.636364" customWidth="1" min="7" max="7"/>
    <col width="51.236362" customWidth="1" min="8" max="8"/>
    <col width="18.636364" customWidth="1" min="9" max="9"/>
    <col width="24.818182" customWidth="1" min="10" max="10"/>
    <col width="29.418182" customWidth="1" min="11" max="11"/>
    <col width="19.363636" customWidth="1" min="12" max="12"/>
    <col width="17.09091" customWidth="1" min="13" max="13"/>
    <col width="9" customWidth="1" min="14" max="18"/>
  </cols>
  <sheetData>
    <row r="1" ht="16.5" customHeight="1">
      <c r="A1" s="20" t="inlineStr">
        <is>
          <t>通用软件评估模型</t>
        </is>
      </c>
      <c r="B1" s="51" t="n"/>
      <c r="C1" s="51" t="n"/>
      <c r="D1" s="51" t="n"/>
      <c r="E1" s="51" t="n"/>
      <c r="F1" s="51" t="n"/>
      <c r="G1" s="51" t="n"/>
      <c r="H1" s="51" t="n"/>
      <c r="I1" s="51" t="n"/>
      <c r="J1" s="51" t="n"/>
      <c r="K1" s="51" t="n"/>
      <c r="L1" s="51" t="n"/>
      <c r="M1" s="50" t="n"/>
      <c r="N1" s="22" t="n"/>
      <c r="O1" s="22" t="n"/>
      <c r="P1" s="22" t="n"/>
      <c r="Q1" s="22" t="n"/>
      <c r="R1" s="22" t="n"/>
    </row>
    <row r="2" ht="16.5" customHeight="1">
      <c r="A2" s="23" t="inlineStr">
        <is>
          <t>度量策略阶段</t>
        </is>
      </c>
      <c r="B2" s="51" t="n"/>
      <c r="C2" s="51" t="n"/>
      <c r="D2" s="51" t="n"/>
      <c r="E2" s="50" t="n"/>
      <c r="F2" s="20" t="inlineStr">
        <is>
          <t>映射阶段</t>
        </is>
      </c>
      <c r="G2" s="51" t="n"/>
      <c r="H2" s="51" t="n"/>
      <c r="I2" s="51" t="n"/>
      <c r="J2" s="51" t="n"/>
      <c r="K2" s="50" t="n"/>
      <c r="L2" s="20" t="inlineStr">
        <is>
          <t>度量阶段</t>
        </is>
      </c>
      <c r="M2" s="50" t="n"/>
      <c r="N2" s="22" t="n"/>
      <c r="O2" s="22" t="n"/>
      <c r="P2" s="22" t="n"/>
      <c r="Q2" s="22" t="n"/>
      <c r="R2" s="22" t="n"/>
    </row>
    <row r="3" ht="16.5" customHeight="1">
      <c r="A3" s="24" t="inlineStr">
        <is>
          <t>客户需求</t>
        </is>
      </c>
      <c r="B3" s="24" t="n"/>
      <c r="C3" s="25" t="inlineStr">
        <is>
          <t>功能用户需求</t>
        </is>
      </c>
      <c r="D3" s="24" t="n"/>
      <c r="E3" s="25" t="inlineStr">
        <is>
          <t>功能用户</t>
        </is>
      </c>
      <c r="F3" s="25" t="inlineStr">
        <is>
          <t>触发事件</t>
        </is>
      </c>
      <c r="G3" s="25" t="inlineStr">
        <is>
          <t>功能过程</t>
        </is>
      </c>
      <c r="H3" s="25" t="inlineStr">
        <is>
          <t>子过程描述</t>
        </is>
      </c>
      <c r="I3" s="25" t="inlineStr">
        <is>
          <t>数据移动类型</t>
        </is>
      </c>
      <c r="J3" s="25" t="inlineStr">
        <is>
          <t>数据组</t>
        </is>
      </c>
      <c r="K3" s="25" t="inlineStr">
        <is>
          <t>数据属性</t>
        </is>
      </c>
      <c r="L3" s="25" t="inlineStr">
        <is>
          <t>复用度</t>
        </is>
      </c>
      <c r="M3" s="26" t="inlineStr">
        <is>
          <t>CFP</t>
        </is>
      </c>
      <c r="N3" s="22" t="n"/>
      <c r="O3" s="22" t="n"/>
      <c r="P3" s="22" t="n"/>
      <c r="Q3" s="22" t="n"/>
      <c r="R3" s="22" t="n"/>
    </row>
    <row r="4" ht="16.5" customHeight="1">
      <c r="A4" s="52" t="n"/>
      <c r="B4" s="24" t="inlineStr">
        <is>
          <t>一级模块</t>
        </is>
      </c>
      <c r="C4" s="24" t="inlineStr">
        <is>
          <t>二级模块</t>
        </is>
      </c>
      <c r="D4" s="24" t="inlineStr">
        <is>
          <t>三级模块</t>
        </is>
      </c>
      <c r="E4" s="53" t="n"/>
      <c r="F4" s="53" t="n"/>
      <c r="G4" s="53" t="n"/>
      <c r="H4" s="53" t="n"/>
      <c r="I4" s="53" t="n"/>
      <c r="J4" s="53" t="n"/>
      <c r="K4" s="53" t="n"/>
      <c r="L4" s="53" t="n"/>
      <c r="M4" s="53" t="n"/>
      <c r="N4" s="22" t="n"/>
      <c r="O4" s="22" t="n"/>
      <c r="P4" s="22" t="n"/>
      <c r="Q4" s="22" t="n"/>
      <c r="R4" s="22" t="n"/>
    </row>
    <row r="5" ht="140" customHeight="1">
      <c r="A5" s="30" t="inlineStr">
        <is>
          <t>具备正式工单号的项目名称</t>
        </is>
      </c>
      <c r="B5" s="30" t="inlineStr">
        <is>
          <t>本次需求需要改造的本项目（或子系统）中已有的一级业务功能名称，或者本次需求新增的本项目（或子系统）的一级业务功能名称</t>
        </is>
      </c>
      <c r="C5" s="31" t="inlineStr">
        <is>
          <t>本次需求需要改造的本项目（或子系统）中已有的二级业务功能名称，或者本次需求新增的本项目（或子系统）的二级业务功能名称</t>
        </is>
      </c>
      <c r="D5" s="31" t="inlineStr">
        <is>
          <t>本次需求需要改造的本项目（或子系统）中已有的三级业务功能名称，或者本次需求新增的本项目（或子系统）的三级业务功能名称。选填。</t>
        </is>
      </c>
      <c r="E5" s="31" t="inlineStr">
        <is>
          <t>一个（类）用户是软件块的功能性用户需求中数据的发送者或者预期的接收者。（功能用户可能是自然人、系统、程序、模块）若数据发起者有多个，要求拆分为1对1 的进行填写。</t>
        </is>
      </c>
      <c r="F5" s="31" t="inlineStr">
        <is>
          <t>待度量软件的功能性用户需求中可识别的一个事件，此事件使得一个或多个软件功能用户产生一个或多个数据组，每个数据组随后被一个触发输入所移动。</t>
        </is>
      </c>
      <c r="G5" s="31"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30" t="inlineStr">
        <is>
          <t>1、每个功能处理由一系列子过程组成。
2、一个子处理可以是一个数据移动或者数据运算。
3、一个功能过程至少需要包括两个或两个以上子过程描述
4、建议子过程描述的字数控制在50以内。</t>
        </is>
      </c>
      <c r="I5" s="31" t="inlineStr">
        <is>
          <t xml:space="preserve">COSMIC规定的四种数据移动类型。包括：输入（E）输出（X）读（R）写（W），四选一。每个功能过程的数据移动类型的第一步必须是E，最后一步必须是W或者X。
</t>
        </is>
      </c>
      <c r="J5" s="30" t="inlineStr">
        <is>
          <t>数据组是一个唯一的、非空的、无序的数据属性的集合。</t>
        </is>
      </c>
      <c r="K5" s="30" t="inlineStr">
        <is>
          <t>一个数据属性是一个已识别的数据组中最小的信息单元，每个数据组一般需要包括三个或三个以上的数据属性。</t>
        </is>
      </c>
      <c r="L5" s="30" t="inlineStr">
        <is>
          <t>表示该功能子过程的复用程度。复用度一般分为三种，即新增、复用和利旧。每一个数据移动表示1个CFP，可根据下拉选项选择。</t>
        </is>
      </c>
      <c r="M5" s="30" t="inlineStr">
        <is>
          <t>COSMIC功能点。根据复用度对功能点进行取值，“新增”记1CFP，“复用”记1/3CFP，“利旧”不计入功能点（0CFP）。</t>
        </is>
      </c>
      <c r="N5" s="22" t="n"/>
      <c r="O5" s="22" t="n"/>
      <c r="P5" s="22" t="n"/>
      <c r="Q5" s="22" t="n"/>
      <c r="R5" s="22" t="n"/>
    </row>
    <row r="6" ht="54" customHeight="1">
      <c r="A6" s="54" t="inlineStr">
        <is>
          <t>关于和乐业务叠加态业务办理的需求</t>
        </is>
      </c>
      <c r="B6" s="54" t="inlineStr">
        <is>
          <t>小福包专区</t>
        </is>
      </c>
      <c r="C6" s="54" t="inlineStr">
        <is>
          <t>装修管理</t>
        </is>
      </c>
      <c r="D6" s="54" t="inlineStr">
        <is>
          <t>基础配置</t>
        </is>
      </c>
      <c r="E6" s="54" t="inlineStr">
        <is>
          <t>发起者：操作员
接收者：地市后台</t>
        </is>
      </c>
      <c r="F6" s="54" t="inlineStr">
        <is>
          <t>用户触发</t>
        </is>
      </c>
      <c r="G6" s="54" t="inlineStr">
        <is>
          <t>获取装修管理基础配置页面</t>
        </is>
      </c>
      <c r="H6" s="55" t="inlineStr">
        <is>
          <t>点击获取基础配置页面数据</t>
        </is>
      </c>
      <c r="I6" s="54" t="inlineStr">
        <is>
          <t>E</t>
        </is>
      </c>
      <c r="J6" s="55" t="inlineStr">
        <is>
          <t>基础配置表单请求</t>
        </is>
      </c>
      <c r="K6" s="55" t="inlineStr">
        <is>
          <t>页面名称、背景颜色、分享设置</t>
        </is>
      </c>
      <c r="L6" s="54" t="inlineStr">
        <is>
          <t>新增</t>
        </is>
      </c>
      <c r="M6" s="56">
        <f>IF(L6="新增",1,IF(L6="复用",1/3,0))</f>
        <v/>
      </c>
      <c r="N6" s="22" t="n"/>
      <c r="O6" s="22" t="n"/>
      <c r="P6" s="22" t="n"/>
      <c r="Q6" s="22" t="n"/>
      <c r="R6" s="22" t="n"/>
    </row>
    <row r="7" ht="54" customHeight="1">
      <c r="A7" s="57" t="n"/>
      <c r="B7" s="57" t="n"/>
      <c r="C7" s="57" t="n"/>
      <c r="D7" s="58" t="n"/>
      <c r="E7" s="58" t="n"/>
      <c r="F7" s="58" t="n"/>
      <c r="G7" s="58" t="n"/>
      <c r="H7" s="55" t="inlineStr">
        <is>
          <t>返回展示基础配置页面</t>
        </is>
      </c>
      <c r="I7" s="54" t="inlineStr">
        <is>
          <t>X</t>
        </is>
      </c>
      <c r="J7" s="55" t="inlineStr">
        <is>
          <t>基础配置表单响应</t>
        </is>
      </c>
      <c r="K7" s="55" t="inlineStr">
        <is>
          <t>页面ID、页面名称、背景颜色、分享设置、主标题、副标题、缩略图</t>
        </is>
      </c>
      <c r="L7" s="54" t="inlineStr">
        <is>
          <t>新增</t>
        </is>
      </c>
      <c r="M7" s="56">
        <f>IF(L7="新增",1,IF(L7="复用",1/3,0))</f>
        <v/>
      </c>
      <c r="N7" s="22" t="n"/>
      <c r="O7" s="22" t="n"/>
      <c r="P7" s="22" t="n"/>
      <c r="Q7" s="22" t="n"/>
      <c r="R7" s="22" t="n"/>
    </row>
    <row r="8" ht="54" customHeight="1">
      <c r="A8" s="57" t="n"/>
      <c r="B8" s="57" t="n"/>
      <c r="C8" s="57" t="n"/>
      <c r="D8" s="54" t="inlineStr">
        <is>
          <t>图片轮播组件</t>
        </is>
      </c>
      <c r="E8" s="54" t="inlineStr">
        <is>
          <t>发起者：操作员
接收者：地市后台</t>
        </is>
      </c>
      <c r="F8" s="54" t="inlineStr">
        <is>
          <t>用户触发</t>
        </is>
      </c>
      <c r="G8" s="54" t="inlineStr">
        <is>
          <t>添加图片轮播组件</t>
        </is>
      </c>
      <c r="H8" s="55" t="inlineStr">
        <is>
          <t>用户拖拽图片轮播组件至预览区域触发添加</t>
        </is>
      </c>
      <c r="I8" s="54" t="inlineStr">
        <is>
          <t>E</t>
        </is>
      </c>
      <c r="J8" s="55" t="inlineStr">
        <is>
          <t>组件添加请求</t>
        </is>
      </c>
      <c r="K8" s="55" t="inlineStr">
        <is>
          <t>页面ID、组件类型、自动轮播</t>
        </is>
      </c>
      <c r="L8" s="54" t="inlineStr">
        <is>
          <t>新增</t>
        </is>
      </c>
      <c r="M8" s="56">
        <f>IF(L8="新增",1,IF(L8="复用",1/3,0))</f>
        <v/>
      </c>
      <c r="N8" s="22" t="n"/>
      <c r="O8" s="22" t="n"/>
      <c r="P8" s="22" t="n"/>
      <c r="Q8" s="22" t="n"/>
      <c r="R8" s="22" t="n"/>
    </row>
    <row r="9" ht="54" customHeight="1">
      <c r="A9" s="57" t="n"/>
      <c r="B9" s="57" t="n"/>
      <c r="C9" s="57" t="n"/>
      <c r="D9" s="57" t="n"/>
      <c r="E9" s="58" t="n"/>
      <c r="F9" s="58" t="n"/>
      <c r="G9" s="58" t="n"/>
      <c r="H9" s="55" t="inlineStr">
        <is>
          <t>存储图片轮播组件配置到数据库</t>
        </is>
      </c>
      <c r="I9" s="54" t="inlineStr">
        <is>
          <t>W</t>
        </is>
      </c>
      <c r="J9" s="55" t="inlineStr">
        <is>
          <t>轮播组件配置表</t>
        </is>
      </c>
      <c r="K9" s="55" t="inlineStr">
        <is>
          <t>组件ID、页面ID、自动轮播、轮播圆点、图片高度、切换时间、上边距、下边距</t>
        </is>
      </c>
      <c r="L9" s="54" t="inlineStr">
        <is>
          <t>新增</t>
        </is>
      </c>
      <c r="M9" s="56">
        <f>IF(L9="新增",1,IF(L9="复用",1/3,0))</f>
        <v/>
      </c>
      <c r="N9" s="22" t="n"/>
      <c r="O9" s="22" t="n"/>
      <c r="P9" s="22" t="n"/>
      <c r="Q9" s="22" t="n"/>
      <c r="R9" s="22" t="n"/>
    </row>
    <row r="10" ht="54" customHeight="1">
      <c r="A10" s="57" t="n"/>
      <c r="B10" s="57" t="n"/>
      <c r="C10" s="57" t="n"/>
      <c r="D10" s="57" t="n"/>
      <c r="E10" s="54" t="inlineStr">
        <is>
          <t>发起者：操作员
接收者：地市后台</t>
        </is>
      </c>
      <c r="F10" s="54" t="inlineStr">
        <is>
          <t>用户触发</t>
        </is>
      </c>
      <c r="G10" s="54" t="inlineStr">
        <is>
          <t>删除图片轮播组件</t>
        </is>
      </c>
      <c r="H10" s="55" t="inlineStr">
        <is>
          <t>用户点击删除图片轮播组件按钮</t>
        </is>
      </c>
      <c r="I10" s="54" t="inlineStr">
        <is>
          <t>E</t>
        </is>
      </c>
      <c r="J10" s="55" t="inlineStr">
        <is>
          <t>删除组件指令</t>
        </is>
      </c>
      <c r="K10" s="55" t="inlineStr">
        <is>
          <t>组件ID、页面ID、用户操作确认</t>
        </is>
      </c>
      <c r="L10" s="54" t="inlineStr">
        <is>
          <t>新增</t>
        </is>
      </c>
      <c r="M10" s="56">
        <f>IF(L10="新增",1,IF(L10="复用",1/3,0))</f>
        <v/>
      </c>
      <c r="N10" s="22" t="n"/>
      <c r="O10" s="22" t="n"/>
      <c r="P10" s="22" t="n"/>
      <c r="Q10" s="22" t="n"/>
      <c r="R10" s="22" t="n"/>
    </row>
    <row r="11" ht="54" customHeight="1">
      <c r="A11" s="57" t="n"/>
      <c r="B11" s="57" t="n"/>
      <c r="C11" s="57" t="n"/>
      <c r="D11" s="57" t="n"/>
      <c r="E11" s="58" t="n"/>
      <c r="F11" s="58" t="n"/>
      <c r="G11" s="58" t="n"/>
      <c r="H11" s="55" t="inlineStr">
        <is>
          <t>从数据库删除轮播组件记录</t>
        </is>
      </c>
      <c r="I11" s="54" t="inlineStr">
        <is>
          <t>W</t>
        </is>
      </c>
      <c r="J11" s="55" t="inlineStr">
        <is>
          <t>轮播组件配置表</t>
        </is>
      </c>
      <c r="K11" s="55" t="inlineStr">
        <is>
          <t>组件ID、页面ID、配置数据</t>
        </is>
      </c>
      <c r="L11" s="54" t="inlineStr">
        <is>
          <t>新增</t>
        </is>
      </c>
      <c r="M11" s="56">
        <f>IF(L11="新增",1,IF(L11="复用",1/3,0))</f>
        <v/>
      </c>
      <c r="N11" s="22" t="n"/>
      <c r="O11" s="22" t="n"/>
      <c r="P11" s="22" t="n"/>
      <c r="Q11" s="22" t="n"/>
      <c r="R11" s="22" t="n"/>
    </row>
    <row r="12" ht="54" customHeight="1">
      <c r="A12" s="57" t="n"/>
      <c r="B12" s="57" t="n"/>
      <c r="C12" s="57" t="n"/>
      <c r="D12" s="57" t="n"/>
      <c r="E12" s="54" t="inlineStr">
        <is>
          <t>发起者：操作员
接收者：地市后台</t>
        </is>
      </c>
      <c r="F12" s="54" t="inlineStr">
        <is>
          <t>用户触发</t>
        </is>
      </c>
      <c r="G12" s="54" t="inlineStr">
        <is>
          <t>添加轮播图片配置表单</t>
        </is>
      </c>
      <c r="H12" s="55" t="inlineStr">
        <is>
          <t>用户填写轮播图片配置表单并提交</t>
        </is>
      </c>
      <c r="I12" s="54" t="inlineStr">
        <is>
          <t>E</t>
        </is>
      </c>
      <c r="J12" s="55" t="inlineStr">
        <is>
          <t>轮播图片添加请求</t>
        </is>
      </c>
      <c r="K12" s="55" t="inlineStr">
        <is>
          <t>所属组件ID、图片URL、标题、链接ID</t>
        </is>
      </c>
      <c r="L12" s="54" t="inlineStr">
        <is>
          <t>新增</t>
        </is>
      </c>
      <c r="M12" s="56">
        <f>IF(L12="新增",1,IF(L12="复用",1/3,0))</f>
        <v/>
      </c>
      <c r="N12" s="22" t="n"/>
      <c r="O12" s="22" t="n"/>
      <c r="P12" s="22" t="n"/>
      <c r="Q12" s="22" t="n"/>
      <c r="R12" s="22" t="n"/>
    </row>
    <row r="13" ht="54" customHeight="1">
      <c r="A13" s="57" t="n"/>
      <c r="B13" s="57" t="n"/>
      <c r="C13" s="57" t="n"/>
      <c r="D13" s="57" t="n"/>
      <c r="E13" s="58" t="n"/>
      <c r="F13" s="58" t="n"/>
      <c r="G13" s="58" t="n"/>
      <c r="H13" s="55" t="inlineStr">
        <is>
          <t>存储轮播图片配置到数据库</t>
        </is>
      </c>
      <c r="I13" s="54" t="inlineStr">
        <is>
          <t>W</t>
        </is>
      </c>
      <c r="J13" s="55" t="inlineStr">
        <is>
          <t>轮播图片配置表</t>
        </is>
      </c>
      <c r="K13" s="55" t="inlineStr">
        <is>
          <t>图片ID、组件ID、图片URL、标题、链接ID、排序</t>
        </is>
      </c>
      <c r="L13" s="54" t="inlineStr">
        <is>
          <t>新增</t>
        </is>
      </c>
      <c r="M13" s="56">
        <f>IF(L13="新增",1,IF(L13="复用",1/3,0))</f>
        <v/>
      </c>
      <c r="N13" s="22" t="n"/>
      <c r="O13" s="22" t="n"/>
      <c r="P13" s="22" t="n"/>
      <c r="Q13" s="22" t="n"/>
      <c r="R13" s="22" t="n"/>
    </row>
    <row r="14" ht="54" customHeight="1">
      <c r="A14" s="57" t="n"/>
      <c r="B14" s="57" t="n"/>
      <c r="C14" s="57" t="n"/>
      <c r="D14" s="57" t="n"/>
      <c r="E14" s="54" t="inlineStr">
        <is>
          <t>发起者：操作员
接收者：地市后台</t>
        </is>
      </c>
      <c r="F14" s="54" t="inlineStr">
        <is>
          <t>用户触发</t>
        </is>
      </c>
      <c r="G14" s="54" t="inlineStr">
        <is>
          <t>删除轮播图片配置表单</t>
        </is>
      </c>
      <c r="H14" s="55" t="inlineStr">
        <is>
          <t>用户点击删除某个轮播图片按钮</t>
        </is>
      </c>
      <c r="I14" s="54" t="inlineStr">
        <is>
          <t>E</t>
        </is>
      </c>
      <c r="J14" s="55" t="inlineStr">
        <is>
          <t>删除图片指令</t>
        </is>
      </c>
      <c r="K14" s="55" t="inlineStr">
        <is>
          <t>图片ID、组件ID、用户确认</t>
        </is>
      </c>
      <c r="L14" s="54" t="inlineStr">
        <is>
          <t>新增</t>
        </is>
      </c>
      <c r="M14" s="56">
        <f>IF(L14="新增",1,IF(L14="复用",1/3,0))</f>
        <v/>
      </c>
      <c r="N14" s="22" t="n"/>
      <c r="O14" s="22" t="n"/>
      <c r="P14" s="22" t="n"/>
      <c r="Q14" s="22" t="n"/>
      <c r="R14" s="22" t="n"/>
    </row>
    <row r="15" ht="54" customHeight="1">
      <c r="A15" s="57" t="n"/>
      <c r="B15" s="57" t="n"/>
      <c r="C15" s="57" t="n"/>
      <c r="D15" s="57" t="n"/>
      <c r="E15" s="58" t="n"/>
      <c r="F15" s="58" t="n"/>
      <c r="G15" s="58" t="n"/>
      <c r="H15" s="55" t="inlineStr">
        <is>
          <t>从数据库删除轮播图片记录</t>
        </is>
      </c>
      <c r="I15" s="54" t="inlineStr">
        <is>
          <t>W</t>
        </is>
      </c>
      <c r="J15" s="55" t="inlineStr">
        <is>
          <t>轮播图片配置表</t>
        </is>
      </c>
      <c r="K15" s="55" t="inlineStr">
        <is>
          <t>图片ID、组件ID、图片数据</t>
        </is>
      </c>
      <c r="L15" s="54" t="inlineStr">
        <is>
          <t>新增</t>
        </is>
      </c>
      <c r="M15" s="56">
        <f>IF(L15="新增",1,IF(L15="复用",1/3,0))</f>
        <v/>
      </c>
      <c r="N15" s="22" t="n"/>
      <c r="O15" s="22" t="n"/>
      <c r="P15" s="22" t="n"/>
      <c r="Q15" s="22" t="n"/>
      <c r="R15" s="22" t="n"/>
    </row>
    <row r="16" ht="54" customHeight="1">
      <c r="A16" s="57" t="n"/>
      <c r="B16" s="57" t="n"/>
      <c r="C16" s="57" t="n"/>
      <c r="D16" s="57" t="n"/>
      <c r="E16" s="54" t="inlineStr">
        <is>
          <t>发起者：操作员
接收者：地市后台</t>
        </is>
      </c>
      <c r="F16" s="54" t="inlineStr">
        <is>
          <t>用户触发</t>
        </is>
      </c>
      <c r="G16" s="54" t="inlineStr">
        <is>
          <t>上传图片文件</t>
        </is>
      </c>
      <c r="H16" s="55" t="inlineStr">
        <is>
          <t>用户选择本地图片文件并点击上传</t>
        </is>
      </c>
      <c r="I16" s="54" t="inlineStr">
        <is>
          <t>E</t>
        </is>
      </c>
      <c r="J16" s="55" t="inlineStr">
        <is>
          <t>文件上传请求</t>
        </is>
      </c>
      <c r="K16" s="55" t="inlineStr">
        <is>
          <t>文件名、文件大小、文件数据</t>
        </is>
      </c>
      <c r="L16" s="54" t="inlineStr">
        <is>
          <t>新增</t>
        </is>
      </c>
      <c r="M16" s="56">
        <f>IF(L16="新增",1,IF(L16="复用",1/3,0))</f>
        <v/>
      </c>
      <c r="N16" s="22" t="n"/>
      <c r="O16" s="22" t="n"/>
      <c r="P16" s="22" t="n"/>
      <c r="Q16" s="22" t="n"/>
      <c r="R16" s="22" t="n"/>
    </row>
    <row r="17" ht="54" customHeight="1">
      <c r="A17" s="57" t="n"/>
      <c r="B17" s="57" t="n"/>
      <c r="C17" s="57" t="n"/>
      <c r="D17" s="57" t="n"/>
      <c r="E17" s="57" t="n"/>
      <c r="F17" s="57" t="n"/>
      <c r="G17" s="57" t="n"/>
      <c r="H17" s="55" t="inlineStr">
        <is>
          <t>服务器保存文件并生成记录</t>
        </is>
      </c>
      <c r="I17" s="54" t="inlineStr">
        <is>
          <t>W</t>
        </is>
      </c>
      <c r="J17" s="55" t="inlineStr">
        <is>
          <t>图片文件表</t>
        </is>
      </c>
      <c r="K17" s="55" t="inlineStr">
        <is>
          <t>文件ID、文件名、文件路径、文件大小、上传时间</t>
        </is>
      </c>
      <c r="L17" s="54" t="inlineStr">
        <is>
          <t>新增</t>
        </is>
      </c>
      <c r="M17" s="56">
        <f>IF(L17="新增",1,IF(L17="复用",1/3,0))</f>
        <v/>
      </c>
      <c r="N17" s="22" t="n"/>
      <c r="O17" s="22" t="n"/>
      <c r="P17" s="22" t="n"/>
      <c r="Q17" s="22" t="n"/>
      <c r="R17" s="22" t="n"/>
    </row>
    <row r="18" ht="54" customHeight="1">
      <c r="A18" s="57" t="n"/>
      <c r="B18" s="57" t="n"/>
      <c r="C18" s="57" t="n"/>
      <c r="D18" s="57" t="n"/>
      <c r="E18" s="58" t="n"/>
      <c r="F18" s="58" t="n"/>
      <c r="G18" s="58" t="n"/>
      <c r="H18" s="55" t="inlineStr">
        <is>
          <t>返回上传成功及图片URL信息</t>
        </is>
      </c>
      <c r="I18" s="54" t="inlineStr">
        <is>
          <t>X</t>
        </is>
      </c>
      <c r="J18" s="55" t="inlineStr">
        <is>
          <t>上传响应</t>
        </is>
      </c>
      <c r="K18" s="55" t="inlineStr">
        <is>
          <t>文件ID、图片URL、文件名</t>
        </is>
      </c>
      <c r="L18" s="54" t="inlineStr">
        <is>
          <t>新增</t>
        </is>
      </c>
      <c r="M18" s="56">
        <f>IF(L18="新增",1,IF(L18="复用",1/3,0))</f>
        <v/>
      </c>
      <c r="N18" s="22" t="n"/>
      <c r="O18" s="22" t="n"/>
      <c r="P18" s="22" t="n"/>
      <c r="Q18" s="22" t="n"/>
      <c r="R18" s="22" t="n"/>
    </row>
    <row r="19" ht="54" customHeight="1">
      <c r="A19" s="57" t="n"/>
      <c r="B19" s="57" t="n"/>
      <c r="C19" s="57" t="n"/>
      <c r="D19" s="57" t="n"/>
      <c r="E19" s="54" t="inlineStr">
        <is>
          <t>发起者：操作员
接收者：地市后台</t>
        </is>
      </c>
      <c r="F19" s="54" t="inlineStr">
        <is>
          <t>用户触发</t>
        </is>
      </c>
      <c r="G19" s="54" t="inlineStr">
        <is>
          <t>全局链接列表</t>
        </is>
      </c>
      <c r="H19" s="55" t="inlineStr">
        <is>
          <t>用户点击选择链接按钮请求全局链接列表</t>
        </is>
      </c>
      <c r="I19" s="54" t="inlineStr">
        <is>
          <t>E</t>
        </is>
      </c>
      <c r="J19" s="55" t="inlineStr">
        <is>
          <t>链接列表请求</t>
        </is>
      </c>
      <c r="K19" s="55" t="inlineStr">
        <is>
          <t>页面ID、搜索关键词、分页参数</t>
        </is>
      </c>
      <c r="L19" s="54" t="inlineStr">
        <is>
          <t>新增</t>
        </is>
      </c>
      <c r="M19" s="56">
        <f>IF(L19="新增",1,IF(L19="复用",1/3,0))</f>
        <v/>
      </c>
      <c r="N19" s="22" t="n"/>
      <c r="O19" s="22" t="n"/>
      <c r="P19" s="22" t="n"/>
      <c r="Q19" s="22" t="n"/>
      <c r="R19" s="22" t="n"/>
    </row>
    <row r="20" ht="54" customHeight="1">
      <c r="A20" s="57" t="n"/>
      <c r="B20" s="57" t="n"/>
      <c r="C20" s="57" t="n"/>
      <c r="D20" s="57" t="n"/>
      <c r="E20" s="57" t="n"/>
      <c r="F20" s="57" t="n"/>
      <c r="G20" s="57" t="n"/>
      <c r="H20" s="55" t="inlineStr">
        <is>
          <t>从数据库读取全局链接数据</t>
        </is>
      </c>
      <c r="I20" s="54" t="inlineStr">
        <is>
          <t>R</t>
        </is>
      </c>
      <c r="J20" s="55" t="inlineStr">
        <is>
          <t>全局链接表</t>
        </is>
      </c>
      <c r="K20" s="55" t="inlineStr">
        <is>
          <t>链接ID、链接名称、链接类型、链接URL、所属模块</t>
        </is>
      </c>
      <c r="L20" s="54" t="inlineStr">
        <is>
          <t>新增</t>
        </is>
      </c>
      <c r="M20" s="56">
        <f>IF(L20="新增",1,IF(L20="复用",1/3,0))</f>
        <v/>
      </c>
      <c r="N20" s="22" t="n"/>
      <c r="O20" s="22" t="n"/>
      <c r="P20" s="22" t="n"/>
      <c r="Q20" s="22" t="n"/>
      <c r="R20" s="22" t="n"/>
    </row>
    <row r="21" ht="54" customHeight="1">
      <c r="A21" s="57" t="n"/>
      <c r="B21" s="57" t="n"/>
      <c r="C21" s="57" t="n"/>
      <c r="D21" s="57" t="n"/>
      <c r="E21" s="58" t="n"/>
      <c r="F21" s="58" t="n"/>
      <c r="G21" s="58" t="n"/>
      <c r="H21" s="55" t="inlineStr">
        <is>
          <t>返回链接列表展示给用户</t>
        </is>
      </c>
      <c r="I21" s="54" t="inlineStr">
        <is>
          <t>X</t>
        </is>
      </c>
      <c r="J21" s="55" t="inlineStr">
        <is>
          <t>链接列表响应</t>
        </is>
      </c>
      <c r="K21" s="55" t="inlineStr">
        <is>
          <t>链接列表数据、总条数、分页信息</t>
        </is>
      </c>
      <c r="L21" s="54" t="inlineStr">
        <is>
          <t>新增</t>
        </is>
      </c>
      <c r="M21" s="56">
        <f>IF(L21="新增",1,IF(L21="复用",1/3,0))</f>
        <v/>
      </c>
      <c r="N21" s="22" t="n"/>
      <c r="O21" s="22" t="n"/>
      <c r="P21" s="22" t="n"/>
      <c r="Q21" s="22" t="n"/>
      <c r="R21" s="22" t="n"/>
    </row>
    <row r="22" ht="54" customHeight="1">
      <c r="A22" s="57" t="n"/>
      <c r="B22" s="57" t="n"/>
      <c r="C22" s="57" t="n"/>
      <c r="D22" s="57" t="n"/>
      <c r="E22" s="54" t="inlineStr">
        <is>
          <t>发起者：操作员
接收者：地市后台</t>
        </is>
      </c>
      <c r="F22" s="54" t="inlineStr">
        <is>
          <t>用户触发</t>
        </is>
      </c>
      <c r="G22" s="54" t="inlineStr">
        <is>
          <t>选择链接配置</t>
        </is>
      </c>
      <c r="H22" s="55" t="inlineStr">
        <is>
          <t>用户在链接列表中选中链接并确认</t>
        </is>
      </c>
      <c r="I22" s="54" t="inlineStr">
        <is>
          <t>E</t>
        </is>
      </c>
      <c r="J22" s="55" t="inlineStr">
        <is>
          <t>链接选择请求</t>
        </is>
      </c>
      <c r="K22" s="55" t="inlineStr">
        <is>
          <t>轮播图片ID、链接ID、组件ID</t>
        </is>
      </c>
      <c r="L22" s="54" t="inlineStr">
        <is>
          <t>新增</t>
        </is>
      </c>
      <c r="M22" s="56">
        <f>IF(L22="新增",1,IF(L22="复用",1/3,0))</f>
        <v/>
      </c>
      <c r="N22" s="22" t="n"/>
      <c r="O22" s="22" t="n"/>
      <c r="P22" s="22" t="n"/>
      <c r="Q22" s="22" t="n"/>
      <c r="R22" s="22" t="n"/>
    </row>
    <row r="23" ht="54" customHeight="1">
      <c r="A23" s="57" t="n"/>
      <c r="B23" s="57" t="n"/>
      <c r="C23" s="57" t="n"/>
      <c r="D23" s="58" t="n"/>
      <c r="E23" s="58" t="n"/>
      <c r="F23" s="58" t="n"/>
      <c r="G23" s="58" t="n"/>
      <c r="H23" s="55" t="inlineStr">
        <is>
          <t>更新轮播图片配置中的链接字段</t>
        </is>
      </c>
      <c r="I23" s="54" t="inlineStr">
        <is>
          <t>W</t>
        </is>
      </c>
      <c r="J23" s="55" t="inlineStr">
        <is>
          <t>轮播图片配置表</t>
        </is>
      </c>
      <c r="K23" s="55" t="inlineStr">
        <is>
          <t>图片ID、链接ID、更新状态</t>
        </is>
      </c>
      <c r="L23" s="54" t="inlineStr">
        <is>
          <t>新增</t>
        </is>
      </c>
      <c r="M23" s="56">
        <f>IF(L23="新增",1,IF(L23="复用",1/3,0))</f>
        <v/>
      </c>
      <c r="N23" s="22" t="n"/>
      <c r="O23" s="22" t="n"/>
      <c r="P23" s="22" t="n"/>
      <c r="Q23" s="22" t="n"/>
      <c r="R23" s="22" t="n"/>
    </row>
    <row r="24" ht="54" customHeight="1">
      <c r="A24" s="57" t="n"/>
      <c r="B24" s="57" t="n"/>
      <c r="C24" s="57" t="n"/>
      <c r="D24" s="54" t="inlineStr">
        <is>
          <t>图片广告组件</t>
        </is>
      </c>
      <c r="E24" s="54" t="inlineStr">
        <is>
          <t>发起者：操作员
接收者：地市后台</t>
        </is>
      </c>
      <c r="F24" s="54" t="inlineStr">
        <is>
          <t>用户触发</t>
        </is>
      </c>
      <c r="G24" s="54" t="inlineStr">
        <is>
          <t>添加图片广告组件</t>
        </is>
      </c>
      <c r="H24" s="55" t="inlineStr">
        <is>
          <t>用户拖拽图片广告组件到预览区域，触发添加组件请求</t>
        </is>
      </c>
      <c r="I24" s="54" t="inlineStr">
        <is>
          <t>E</t>
        </is>
      </c>
      <c r="J24" s="55" t="inlineStr">
        <is>
          <t>组件添加请求数据组</t>
        </is>
      </c>
      <c r="K24" s="55" t="inlineStr">
        <is>
          <t>页面ID、组件类型、组件位置</t>
        </is>
      </c>
      <c r="L24" s="54" t="inlineStr">
        <is>
          <t>新增</t>
        </is>
      </c>
      <c r="M24" s="56">
        <f>IF(L24="新增",1,IF(L24="复用",1/3,0))</f>
        <v/>
      </c>
      <c r="N24" s="22" t="n"/>
      <c r="O24" s="22" t="n"/>
      <c r="P24" s="22" t="n"/>
      <c r="Q24" s="22" t="n"/>
      <c r="R24" s="22" t="n"/>
    </row>
    <row r="25" ht="72" customHeight="1">
      <c r="A25" s="57" t="n"/>
      <c r="B25" s="57" t="n"/>
      <c r="C25" s="57" t="n"/>
      <c r="D25" s="57" t="n"/>
      <c r="E25" s="58" t="n"/>
      <c r="F25" s="58" t="n"/>
      <c r="G25" s="58" t="n"/>
      <c r="H25" s="55" t="inlineStr">
        <is>
          <t>系统保存图片广告组件的通用配置到数据库</t>
        </is>
      </c>
      <c r="I25" s="54" t="inlineStr">
        <is>
          <t>W</t>
        </is>
      </c>
      <c r="J25" s="55" t="inlineStr">
        <is>
          <t>图片广告组件配置数据组</t>
        </is>
      </c>
      <c r="K25" s="55" t="inlineStr">
        <is>
          <t>组件ID、图片个数、图片边距、上边距、下边距、图片效果、标题对齐、标题名称、标题颜色、背景颜色</t>
        </is>
      </c>
      <c r="L25" s="54" t="inlineStr">
        <is>
          <t>新增</t>
        </is>
      </c>
      <c r="M25" s="56">
        <f>IF(L25="新增",1,IF(L25="复用",1/3,0))</f>
        <v/>
      </c>
      <c r="N25" s="22" t="n"/>
      <c r="O25" s="22" t="n"/>
      <c r="P25" s="22" t="n"/>
      <c r="Q25" s="22" t="n"/>
      <c r="R25" s="22" t="n"/>
    </row>
    <row r="26" ht="54" customHeight="1">
      <c r="A26" s="57" t="n"/>
      <c r="B26" s="57" t="n"/>
      <c r="C26" s="57" t="n"/>
      <c r="D26" s="57" t="n"/>
      <c r="E26" s="54" t="inlineStr">
        <is>
          <t>发起者：操作员
接收者：地市后台</t>
        </is>
      </c>
      <c r="F26" s="54" t="inlineStr">
        <is>
          <t>用户触发</t>
        </is>
      </c>
      <c r="G26" s="54" t="inlineStr">
        <is>
          <t>删除图片广告组件</t>
        </is>
      </c>
      <c r="H26" s="55" t="inlineStr">
        <is>
          <t>用户点击删除图片广告组件按钮，提交删除指令</t>
        </is>
      </c>
      <c r="I26" s="54" t="inlineStr">
        <is>
          <t>E</t>
        </is>
      </c>
      <c r="J26" s="55" t="inlineStr">
        <is>
          <t>删除组件请求数据组</t>
        </is>
      </c>
      <c r="K26" s="55" t="inlineStr">
        <is>
          <t>组件ID、页面ID、用户ID</t>
        </is>
      </c>
      <c r="L26" s="54" t="inlineStr">
        <is>
          <t>新增</t>
        </is>
      </c>
      <c r="M26" s="56">
        <f>IF(L26="新增",1,IF(L26="复用",1/3,0))</f>
        <v/>
      </c>
      <c r="N26" s="22" t="n"/>
      <c r="O26" s="22" t="n"/>
      <c r="P26" s="22" t="n"/>
      <c r="Q26" s="22" t="n"/>
      <c r="R26" s="22" t="n"/>
    </row>
    <row r="27" ht="54" customHeight="1">
      <c r="A27" s="57" t="n"/>
      <c r="B27" s="57" t="n"/>
      <c r="C27" s="57" t="n"/>
      <c r="D27" s="57" t="n"/>
      <c r="E27" s="58" t="n"/>
      <c r="F27" s="58" t="n"/>
      <c r="G27" s="58" t="n"/>
      <c r="H27" s="55" t="inlineStr">
        <is>
          <t>系统删除数据库中该图片广告组件及其关联的所有图片配置记录</t>
        </is>
      </c>
      <c r="I27" s="54" t="inlineStr">
        <is>
          <t>W</t>
        </is>
      </c>
      <c r="J27" s="55" t="inlineStr">
        <is>
          <t>图片广告组件删除数据组</t>
        </is>
      </c>
      <c r="K27" s="55" t="inlineStr">
        <is>
          <t>组件ID、关联图片列表、配置信息</t>
        </is>
      </c>
      <c r="L27" s="54" t="inlineStr">
        <is>
          <t>新增</t>
        </is>
      </c>
      <c r="M27" s="56">
        <f>IF(L27="新增",1,IF(L27="复用",1/3,0))</f>
        <v/>
      </c>
      <c r="N27" s="22" t="n"/>
      <c r="O27" s="22" t="n"/>
      <c r="P27" s="22" t="n"/>
      <c r="Q27" s="22" t="n"/>
      <c r="R27" s="22" t="n"/>
    </row>
    <row r="28" ht="54" customHeight="1">
      <c r="A28" s="57" t="n"/>
      <c r="B28" s="57" t="n"/>
      <c r="C28" s="57" t="n"/>
      <c r="D28" s="57" t="n"/>
      <c r="E28" s="54" t="inlineStr">
        <is>
          <t>发起者：操作员
接收者：地市后台</t>
        </is>
      </c>
      <c r="F28" s="54" t="inlineStr">
        <is>
          <t>用户触发</t>
        </is>
      </c>
      <c r="G28" s="54" t="inlineStr">
        <is>
          <t>添加广告图片配置表单</t>
        </is>
      </c>
      <c r="H28" s="55" t="inlineStr">
        <is>
          <t>用户填写并提交新增广告图片的配置表单（包括上传广告图、标题、选择广告链接等）</t>
        </is>
      </c>
      <c r="I28" s="54" t="inlineStr">
        <is>
          <t>E</t>
        </is>
      </c>
      <c r="J28" s="55" t="inlineStr">
        <is>
          <t>广告图片新增请求数据组</t>
        </is>
      </c>
      <c r="K28" s="55" t="inlineStr">
        <is>
          <t>组件ID、广告图URL、标题、链接类型、链接内容</t>
        </is>
      </c>
      <c r="L28" s="54" t="inlineStr">
        <is>
          <t>新增</t>
        </is>
      </c>
      <c r="M28" s="56">
        <f>IF(L28="新增",1,IF(L28="复用",1/3,0))</f>
        <v/>
      </c>
      <c r="N28" s="22" t="n"/>
      <c r="O28" s="22" t="n"/>
      <c r="P28" s="22" t="n"/>
      <c r="Q28" s="22" t="n"/>
      <c r="R28" s="22" t="n"/>
    </row>
    <row r="29" ht="54" customHeight="1">
      <c r="A29" s="57" t="n"/>
      <c r="B29" s="57" t="n"/>
      <c r="C29" s="57" t="n"/>
      <c r="D29" s="57" t="n"/>
      <c r="E29" s="58" t="n"/>
      <c r="F29" s="58" t="n"/>
      <c r="G29" s="58" t="n"/>
      <c r="H29" s="55" t="inlineStr">
        <is>
          <t>系统将新的广告图片配置记录存储到数据库</t>
        </is>
      </c>
      <c r="I29" s="54" t="inlineStr">
        <is>
          <t>W</t>
        </is>
      </c>
      <c r="J29" s="55" t="inlineStr">
        <is>
          <t>广告图片配置表数据组</t>
        </is>
      </c>
      <c r="K29" s="55" t="inlineStr">
        <is>
          <t>图片ID、组件ID、广告图URL、标题、链接类型、链接内容</t>
        </is>
      </c>
      <c r="L29" s="54" t="inlineStr">
        <is>
          <t>新增</t>
        </is>
      </c>
      <c r="M29" s="56">
        <f>IF(L29="新增",1,IF(L29="复用",1/3,0))</f>
        <v/>
      </c>
      <c r="N29" s="22" t="n"/>
      <c r="O29" s="22" t="n"/>
      <c r="P29" s="22" t="n"/>
      <c r="Q29" s="22" t="n"/>
      <c r="R29" s="22" t="n"/>
    </row>
    <row r="30" ht="54" customHeight="1">
      <c r="A30" s="57" t="n"/>
      <c r="B30" s="57" t="n"/>
      <c r="C30" s="57" t="n"/>
      <c r="D30" s="57" t="n"/>
      <c r="E30" s="54" t="inlineStr">
        <is>
          <t>发起者：操作员
接收者：地市后台</t>
        </is>
      </c>
      <c r="F30" s="54" t="inlineStr">
        <is>
          <t>用户触发</t>
        </is>
      </c>
      <c r="G30" s="54" t="inlineStr">
        <is>
          <t>删除广告图片配置表单</t>
        </is>
      </c>
      <c r="H30" s="55" t="inlineStr">
        <is>
          <t>用户点击删除某张广告图片的按钮，提交删除指令</t>
        </is>
      </c>
      <c r="I30" s="54" t="inlineStr">
        <is>
          <t>E</t>
        </is>
      </c>
      <c r="J30" s="55" t="inlineStr">
        <is>
          <t>删除广告图片请求数据组</t>
        </is>
      </c>
      <c r="K30" s="55" t="inlineStr">
        <is>
          <t>图片ID、组件ID、用户ID</t>
        </is>
      </c>
      <c r="L30" s="54" t="inlineStr">
        <is>
          <t>新增</t>
        </is>
      </c>
      <c r="M30" s="56">
        <f>IF(L30="新增",1,IF(L30="复用",1/3,0))</f>
        <v/>
      </c>
      <c r="N30" s="22" t="n"/>
      <c r="O30" s="22" t="n"/>
      <c r="P30" s="22" t="n"/>
      <c r="Q30" s="22" t="n"/>
      <c r="R30" s="22" t="n"/>
    </row>
    <row r="31" ht="54" customHeight="1">
      <c r="A31" s="57" t="n"/>
      <c r="B31" s="57" t="n"/>
      <c r="C31" s="57" t="n"/>
      <c r="D31" s="58" t="n"/>
      <c r="E31" s="58" t="n"/>
      <c r="F31" s="58" t="n"/>
      <c r="G31" s="58" t="n"/>
      <c r="H31" s="55" t="inlineStr">
        <is>
          <t>系统从数据库中删除对应的广告图片配置记录</t>
        </is>
      </c>
      <c r="I31" s="54" t="inlineStr">
        <is>
          <t>W</t>
        </is>
      </c>
      <c r="J31" s="55" t="inlineStr">
        <is>
          <t>广告图片配置删除数据组</t>
        </is>
      </c>
      <c r="K31" s="55" t="inlineStr">
        <is>
          <t>图片ID、组件ID、关联链接</t>
        </is>
      </c>
      <c r="L31" s="54" t="inlineStr">
        <is>
          <t>新增</t>
        </is>
      </c>
      <c r="M31" s="56">
        <f>IF(L31="新增",1,IF(L31="复用",1/3,0))</f>
        <v/>
      </c>
      <c r="N31" s="22" t="n"/>
      <c r="O31" s="22" t="n"/>
      <c r="P31" s="22" t="n"/>
      <c r="Q31" s="22" t="n"/>
      <c r="R31" s="22" t="n"/>
    </row>
    <row r="32" ht="54" customHeight="1">
      <c r="A32" s="57" t="n"/>
      <c r="B32" s="57" t="n"/>
      <c r="C32" s="57" t="n"/>
      <c r="D32" s="54" t="inlineStr">
        <is>
          <t>小福包组件</t>
        </is>
      </c>
      <c r="E32" s="54" t="inlineStr">
        <is>
          <t>发起者：操作员
接收者：地市后台</t>
        </is>
      </c>
      <c r="F32" s="54" t="inlineStr">
        <is>
          <t>用户触发</t>
        </is>
      </c>
      <c r="G32" s="54" t="inlineStr">
        <is>
          <t>添加小福包组件</t>
        </is>
      </c>
      <c r="H32" s="55" t="inlineStr">
        <is>
          <t>拖拽组件至预览区并提交组件配置</t>
        </is>
      </c>
      <c r="I32" s="54" t="inlineStr">
        <is>
          <t>E</t>
        </is>
      </c>
      <c r="J32" s="55" t="inlineStr">
        <is>
          <t>小福包组件配置数据</t>
        </is>
      </c>
      <c r="K32" s="55" t="inlineStr">
        <is>
          <t>上边距、下边距、左边距、右边距、背景颜色</t>
        </is>
      </c>
      <c r="L32" s="54" t="inlineStr">
        <is>
          <t>新增</t>
        </is>
      </c>
      <c r="M32" s="56">
        <f>IF(L32="新增",1,IF(L32="复用",1/3,0))</f>
        <v/>
      </c>
      <c r="N32" s="22" t="n"/>
      <c r="O32" s="22" t="n"/>
      <c r="P32" s="22" t="n"/>
      <c r="Q32" s="22" t="n"/>
      <c r="R32" s="22" t="n"/>
    </row>
    <row r="33" ht="54" customHeight="1">
      <c r="A33" s="57" t="n"/>
      <c r="B33" s="57" t="n"/>
      <c r="C33" s="57" t="n"/>
      <c r="D33" s="57" t="n"/>
      <c r="E33" s="58" t="n"/>
      <c r="F33" s="58" t="n"/>
      <c r="G33" s="58" t="n"/>
      <c r="H33" s="55" t="inlineStr">
        <is>
          <t>存储组件配置到数据库</t>
        </is>
      </c>
      <c r="I33" s="54" t="inlineStr">
        <is>
          <t>W</t>
        </is>
      </c>
      <c r="J33" s="55" t="inlineStr">
        <is>
          <t>小福包组件表</t>
        </is>
      </c>
      <c r="K33" s="55" t="inlineStr">
        <is>
          <t>组件ID、上边距、下边距、左边距、右边距、背景颜色</t>
        </is>
      </c>
      <c r="L33" s="54" t="inlineStr">
        <is>
          <t>新增</t>
        </is>
      </c>
      <c r="M33" s="56">
        <f>IF(L33="新增",1,IF(L33="复用",1/3,0))</f>
        <v/>
      </c>
      <c r="N33" s="22" t="n"/>
      <c r="O33" s="22" t="n"/>
      <c r="P33" s="22" t="n"/>
      <c r="Q33" s="22" t="n"/>
      <c r="R33" s="22" t="n"/>
    </row>
    <row r="34" ht="54" customHeight="1">
      <c r="A34" s="57" t="n"/>
      <c r="B34" s="57" t="n"/>
      <c r="C34" s="57" t="n"/>
      <c r="D34" s="57" t="n"/>
      <c r="E34" s="54" t="inlineStr">
        <is>
          <t>发起者：操作员
接收者：地市后台</t>
        </is>
      </c>
      <c r="F34" s="54" t="inlineStr">
        <is>
          <t>用户触发</t>
        </is>
      </c>
      <c r="G34" s="54" t="inlineStr">
        <is>
          <t>删除小福包组件</t>
        </is>
      </c>
      <c r="H34" s="55" t="inlineStr">
        <is>
          <t>点击删除组件按钮提交删除指令</t>
        </is>
      </c>
      <c r="I34" s="54" t="inlineStr">
        <is>
          <t>E</t>
        </is>
      </c>
      <c r="J34" s="55" t="inlineStr">
        <is>
          <t>组件删除请求</t>
        </is>
      </c>
      <c r="K34" s="55" t="inlineStr">
        <is>
          <t>组件ID、用户ID、页面标识</t>
        </is>
      </c>
      <c r="L34" s="54" t="inlineStr">
        <is>
          <t>新增</t>
        </is>
      </c>
      <c r="M34" s="56">
        <f>IF(L34="新增",1,IF(L34="复用",1/3,0))</f>
        <v/>
      </c>
      <c r="N34" s="22" t="n"/>
      <c r="O34" s="22" t="n"/>
      <c r="P34" s="22" t="n"/>
      <c r="Q34" s="22" t="n"/>
      <c r="R34" s="22" t="n"/>
    </row>
    <row r="35" ht="54" customHeight="1">
      <c r="A35" s="57" t="n"/>
      <c r="B35" s="57" t="n"/>
      <c r="C35" s="57" t="n"/>
      <c r="D35" s="57" t="n"/>
      <c r="E35" s="58" t="n"/>
      <c r="F35" s="58" t="n"/>
      <c r="G35" s="58" t="n"/>
      <c r="H35" s="55" t="inlineStr">
        <is>
          <t>从数据库删除组件数据</t>
        </is>
      </c>
      <c r="I35" s="54" t="inlineStr">
        <is>
          <t>W</t>
        </is>
      </c>
      <c r="J35" s="55" t="inlineStr">
        <is>
          <t>小福包组件表</t>
        </is>
      </c>
      <c r="K35" s="55" t="inlineStr">
        <is>
          <t>组件ID、组件类型、删除时间</t>
        </is>
      </c>
      <c r="L35" s="54" t="inlineStr">
        <is>
          <t>新增</t>
        </is>
      </c>
      <c r="M35" s="56">
        <f>IF(L35="新增",1,IF(L35="复用",1/3,0))</f>
        <v/>
      </c>
      <c r="N35" s="22" t="n"/>
      <c r="O35" s="22" t="n"/>
      <c r="P35" s="22" t="n"/>
      <c r="Q35" s="22" t="n"/>
      <c r="R35" s="22" t="n"/>
    </row>
    <row r="36" ht="54" customHeight="1">
      <c r="A36" s="57" t="n"/>
      <c r="B36" s="57" t="n"/>
      <c r="C36" s="57" t="n"/>
      <c r="D36" s="57" t="n"/>
      <c r="E36" s="54" t="inlineStr">
        <is>
          <t>发起者：操作员
接收者：地市后台</t>
        </is>
      </c>
      <c r="F36" s="54" t="inlineStr">
        <is>
          <t>用户触发</t>
        </is>
      </c>
      <c r="G36" s="54" t="inlineStr">
        <is>
          <t>新增小福包标签</t>
        </is>
      </c>
      <c r="H36" s="55" t="inlineStr">
        <is>
          <t>提交新增标签表单数据</t>
        </is>
      </c>
      <c r="I36" s="54" t="inlineStr">
        <is>
          <t>E</t>
        </is>
      </c>
      <c r="J36" s="55" t="inlineStr">
        <is>
          <t>标签新增数据</t>
        </is>
      </c>
      <c r="K36" s="55" t="inlineStr">
        <is>
          <t>标签名称、标签排序、所属组件ID</t>
        </is>
      </c>
      <c r="L36" s="54" t="inlineStr">
        <is>
          <t>新增</t>
        </is>
      </c>
      <c r="M36" s="56">
        <f>IF(L36="新增",1,IF(L36="复用",1/3,0))</f>
        <v/>
      </c>
      <c r="N36" s="22" t="n"/>
      <c r="O36" s="22" t="n"/>
      <c r="P36" s="22" t="n"/>
      <c r="Q36" s="22" t="n"/>
      <c r="R36" s="22" t="n"/>
    </row>
    <row r="37" ht="54" customHeight="1">
      <c r="A37" s="57" t="n"/>
      <c r="B37" s="57" t="n"/>
      <c r="C37" s="57" t="n"/>
      <c r="D37" s="57" t="n"/>
      <c r="E37" s="58" t="n"/>
      <c r="F37" s="58" t="n"/>
      <c r="G37" s="58" t="n"/>
      <c r="H37" s="55" t="inlineStr">
        <is>
          <t>将标签数据写入数据库</t>
        </is>
      </c>
      <c r="I37" s="54" t="inlineStr">
        <is>
          <t>W</t>
        </is>
      </c>
      <c r="J37" s="55" t="inlineStr">
        <is>
          <t>标签表</t>
        </is>
      </c>
      <c r="K37" s="55" t="inlineStr">
        <is>
          <t>标签ID、标签名称、标签排序、所属组件ID</t>
        </is>
      </c>
      <c r="L37" s="54" t="inlineStr">
        <is>
          <t>新增</t>
        </is>
      </c>
      <c r="M37" s="56">
        <f>IF(L37="新增",1,IF(L37="复用",1/3,0))</f>
        <v/>
      </c>
      <c r="N37" s="22" t="n"/>
      <c r="O37" s="22" t="n"/>
      <c r="P37" s="22" t="n"/>
      <c r="Q37" s="22" t="n"/>
      <c r="R37" s="22" t="n"/>
    </row>
    <row r="38" ht="54" customHeight="1">
      <c r="A38" s="57" t="n"/>
      <c r="B38" s="57" t="n"/>
      <c r="C38" s="57" t="n"/>
      <c r="D38" s="57" t="n"/>
      <c r="E38" s="54" t="inlineStr">
        <is>
          <t>发起者：操作员
接收者：地市后台</t>
        </is>
      </c>
      <c r="F38" s="54" t="inlineStr">
        <is>
          <t>用户触发</t>
        </is>
      </c>
      <c r="G38" s="54" t="inlineStr">
        <is>
          <t>编辑小福包标签</t>
        </is>
      </c>
      <c r="H38" s="55" t="inlineStr">
        <is>
          <t>提交编辑后的标签数据</t>
        </is>
      </c>
      <c r="I38" s="54" t="inlineStr">
        <is>
          <t>E</t>
        </is>
      </c>
      <c r="J38" s="55" t="inlineStr">
        <is>
          <t>标签编辑数据</t>
        </is>
      </c>
      <c r="K38" s="55" t="inlineStr">
        <is>
          <t>标签ID、标签名称、标签排序</t>
        </is>
      </c>
      <c r="L38" s="54" t="inlineStr">
        <is>
          <t>新增</t>
        </is>
      </c>
      <c r="M38" s="56">
        <f>IF(L38="新增",1,IF(L38="复用",1/3,0))</f>
        <v/>
      </c>
      <c r="N38" s="22" t="n"/>
      <c r="O38" s="22" t="n"/>
      <c r="P38" s="22" t="n"/>
      <c r="Q38" s="22" t="n"/>
      <c r="R38" s="22" t="n"/>
    </row>
    <row r="39" ht="54" customHeight="1">
      <c r="A39" s="57" t="n"/>
      <c r="B39" s="57" t="n"/>
      <c r="C39" s="57" t="n"/>
      <c r="D39" s="57" t="n"/>
      <c r="E39" s="58" t="n"/>
      <c r="F39" s="58" t="n"/>
      <c r="G39" s="58" t="n"/>
      <c r="H39" s="55" t="inlineStr">
        <is>
          <t>更新数据库中的标签记录</t>
        </is>
      </c>
      <c r="I39" s="54" t="inlineStr">
        <is>
          <t>W</t>
        </is>
      </c>
      <c r="J39" s="55" t="inlineStr">
        <is>
          <t>标签表</t>
        </is>
      </c>
      <c r="K39" s="55" t="inlineStr">
        <is>
          <t>标签ID、标签名称、标签排序、更新时间</t>
        </is>
      </c>
      <c r="L39" s="54" t="inlineStr">
        <is>
          <t>新增</t>
        </is>
      </c>
      <c r="M39" s="56">
        <f>IF(L39="新增",1,IF(L39="复用",1/3,0))</f>
        <v/>
      </c>
      <c r="N39" s="22" t="n"/>
      <c r="O39" s="22" t="n"/>
      <c r="P39" s="22" t="n"/>
      <c r="Q39" s="22" t="n"/>
      <c r="R39" s="22" t="n"/>
    </row>
    <row r="40" ht="54" customHeight="1">
      <c r="A40" s="57" t="n"/>
      <c r="B40" s="57" t="n"/>
      <c r="C40" s="57" t="n"/>
      <c r="D40" s="57" t="n"/>
      <c r="E40" s="54" t="inlineStr">
        <is>
          <t>发起者：操作员
接收者：地市后台</t>
        </is>
      </c>
      <c r="F40" s="54" t="inlineStr">
        <is>
          <t>用户触发</t>
        </is>
      </c>
      <c r="G40" s="54" t="inlineStr">
        <is>
          <t>删除小福包标签</t>
        </is>
      </c>
      <c r="H40" s="55" t="inlineStr">
        <is>
          <t>提交删除标签指令</t>
        </is>
      </c>
      <c r="I40" s="54" t="inlineStr">
        <is>
          <t>E</t>
        </is>
      </c>
      <c r="J40" s="55" t="inlineStr">
        <is>
          <t>标签删除请求</t>
        </is>
      </c>
      <c r="K40" s="55" t="inlineStr">
        <is>
          <t>标签ID、所属组件ID、操作人</t>
        </is>
      </c>
      <c r="L40" s="54" t="inlineStr">
        <is>
          <t>新增</t>
        </is>
      </c>
      <c r="M40" s="56">
        <f>IF(L40="新增",1,IF(L40="复用",1/3,0))</f>
        <v/>
      </c>
      <c r="N40" s="22" t="n"/>
      <c r="O40" s="22" t="n"/>
      <c r="P40" s="22" t="n"/>
      <c r="Q40" s="22" t="n"/>
      <c r="R40" s="22" t="n"/>
    </row>
    <row r="41" ht="54" customHeight="1">
      <c r="A41" s="57" t="n"/>
      <c r="B41" s="57" t="n"/>
      <c r="C41" s="57" t="n"/>
      <c r="D41" s="57" t="n"/>
      <c r="E41" s="58" t="n"/>
      <c r="F41" s="58" t="n"/>
      <c r="G41" s="58" t="n"/>
      <c r="H41" s="55" t="inlineStr">
        <is>
          <t>从数据库删除标签</t>
        </is>
      </c>
      <c r="I41" s="54" t="inlineStr">
        <is>
          <t>W</t>
        </is>
      </c>
      <c r="J41" s="55" t="inlineStr">
        <is>
          <t>标签表</t>
        </is>
      </c>
      <c r="K41" s="55" t="inlineStr">
        <is>
          <t>标签ID、标签名称、删除标识</t>
        </is>
      </c>
      <c r="L41" s="54" t="inlineStr">
        <is>
          <t>新增</t>
        </is>
      </c>
      <c r="M41" s="56">
        <f>IF(L41="新增",1,IF(L41="复用",1/3,0))</f>
        <v/>
      </c>
      <c r="N41" s="22" t="n"/>
      <c r="O41" s="22" t="n"/>
      <c r="P41" s="22" t="n"/>
      <c r="Q41" s="22" t="n"/>
      <c r="R41" s="22" t="n"/>
    </row>
    <row r="42" ht="54" customHeight="1">
      <c r="A42" s="57" t="n"/>
      <c r="B42" s="57" t="n"/>
      <c r="C42" s="57" t="n"/>
      <c r="D42" s="57" t="n"/>
      <c r="E42" s="54" t="inlineStr">
        <is>
          <t>发起者：操作员
接收者：地市后台</t>
        </is>
      </c>
      <c r="F42" s="54" t="inlineStr">
        <is>
          <t>用户触发</t>
        </is>
      </c>
      <c r="G42" s="54" t="inlineStr">
        <is>
          <t>添加小福包产品</t>
        </is>
      </c>
      <c r="H42" s="55" t="inlineStr">
        <is>
          <t>提交添加产品数据</t>
        </is>
      </c>
      <c r="I42" s="54" t="inlineStr">
        <is>
          <t>E</t>
        </is>
      </c>
      <c r="J42" s="55" t="inlineStr">
        <is>
          <t>产品新增数据</t>
        </is>
      </c>
      <c r="K42" s="55" t="inlineStr">
        <is>
          <t>产品标题、上传图片、选择小福包、关联标签</t>
        </is>
      </c>
      <c r="L42" s="54" t="inlineStr">
        <is>
          <t>新增</t>
        </is>
      </c>
      <c r="M42" s="56">
        <f>IF(L42="新增",1,IF(L42="复用",1/3,0))</f>
        <v/>
      </c>
      <c r="N42" s="22" t="n"/>
      <c r="O42" s="22" t="n"/>
      <c r="P42" s="22" t="n"/>
      <c r="Q42" s="22" t="n"/>
      <c r="R42" s="22" t="n"/>
    </row>
    <row r="43" ht="54" customHeight="1">
      <c r="A43" s="57" t="n"/>
      <c r="B43" s="57" t="n"/>
      <c r="C43" s="57" t="n"/>
      <c r="D43" s="57" t="n"/>
      <c r="E43" s="58" t="n"/>
      <c r="F43" s="58" t="n"/>
      <c r="G43" s="58" t="n"/>
      <c r="H43" s="55" t="inlineStr">
        <is>
          <t>存储产品数据到数据库</t>
        </is>
      </c>
      <c r="I43" s="54" t="inlineStr">
        <is>
          <t>W</t>
        </is>
      </c>
      <c r="J43" s="55" t="inlineStr">
        <is>
          <t>产品表</t>
        </is>
      </c>
      <c r="K43" s="55" t="inlineStr">
        <is>
          <t>产品ID、产品标题、图片地址、小福包ID、关联标签ID</t>
        </is>
      </c>
      <c r="L43" s="54" t="inlineStr">
        <is>
          <t>新增</t>
        </is>
      </c>
      <c r="M43" s="56">
        <f>IF(L43="新增",1,IF(L43="复用",1/3,0))</f>
        <v/>
      </c>
      <c r="N43" s="22" t="n"/>
      <c r="O43" s="22" t="n"/>
      <c r="P43" s="22" t="n"/>
      <c r="Q43" s="22" t="n"/>
      <c r="R43" s="22" t="n"/>
    </row>
    <row r="44" ht="54" customHeight="1">
      <c r="A44" s="57" t="n"/>
      <c r="B44" s="57" t="n"/>
      <c r="C44" s="57" t="n"/>
      <c r="D44" s="57" t="n"/>
      <c r="E44" s="54" t="inlineStr">
        <is>
          <t>发起者：操作员
接收者：地市后台</t>
        </is>
      </c>
      <c r="F44" s="54" t="inlineStr">
        <is>
          <t>用户触发</t>
        </is>
      </c>
      <c r="G44" s="54" t="inlineStr">
        <is>
          <t>删除小福包产品</t>
        </is>
      </c>
      <c r="H44" s="55" t="inlineStr">
        <is>
          <t>提交删除产品指令</t>
        </is>
      </c>
      <c r="I44" s="54" t="inlineStr">
        <is>
          <t>E</t>
        </is>
      </c>
      <c r="J44" s="55" t="inlineStr">
        <is>
          <t>产品删除请求</t>
        </is>
      </c>
      <c r="K44" s="55" t="inlineStr">
        <is>
          <t>产品ID、所属组件ID、关联标签ID</t>
        </is>
      </c>
      <c r="L44" s="54" t="inlineStr">
        <is>
          <t>新增</t>
        </is>
      </c>
      <c r="M44" s="56">
        <f>IF(L44="新增",1,IF(L44="复用",1/3,0))</f>
        <v/>
      </c>
      <c r="N44" s="22" t="n"/>
      <c r="O44" s="22" t="n"/>
      <c r="P44" s="22" t="n"/>
      <c r="Q44" s="22" t="n"/>
      <c r="R44" s="22" t="n"/>
    </row>
    <row r="45" ht="54" customHeight="1">
      <c r="A45" s="57" t="n"/>
      <c r="B45" s="57" t="n"/>
      <c r="C45" s="57" t="n"/>
      <c r="D45" s="57" t="n"/>
      <c r="E45" s="58" t="n"/>
      <c r="F45" s="58" t="n"/>
      <c r="G45" s="58" t="n"/>
      <c r="H45" s="55" t="inlineStr">
        <is>
          <t>从数据库删除产品</t>
        </is>
      </c>
      <c r="I45" s="54" t="inlineStr">
        <is>
          <t>W</t>
        </is>
      </c>
      <c r="J45" s="55" t="inlineStr">
        <is>
          <t>产品表</t>
        </is>
      </c>
      <c r="K45" s="55" t="inlineStr">
        <is>
          <t>产品ID、产品标题、删除状态</t>
        </is>
      </c>
      <c r="L45" s="54" t="inlineStr">
        <is>
          <t>新增</t>
        </is>
      </c>
      <c r="M45" s="56">
        <f>IF(L45="新增",1,IF(L45="复用",1/3,0))</f>
        <v/>
      </c>
      <c r="N45" s="22" t="n"/>
      <c r="O45" s="22" t="n"/>
      <c r="P45" s="22" t="n"/>
      <c r="Q45" s="22" t="n"/>
      <c r="R45" s="22" t="n"/>
    </row>
    <row r="46" ht="54" customHeight="1">
      <c r="A46" s="57" t="n"/>
      <c r="B46" s="57" t="n"/>
      <c r="C46" s="57" t="n"/>
      <c r="D46" s="57" t="n"/>
      <c r="E46" s="54" t="inlineStr">
        <is>
          <t>发起者：操作员
接收者：地市后台</t>
        </is>
      </c>
      <c r="F46" s="54" t="inlineStr">
        <is>
          <t>用户触发</t>
        </is>
      </c>
      <c r="G46" s="54" t="inlineStr">
        <is>
          <t>关联小福包标签</t>
        </is>
      </c>
      <c r="H46" s="55" t="inlineStr">
        <is>
          <t>提交产品与标签的关联关系数据</t>
        </is>
      </c>
      <c r="I46" s="54" t="inlineStr">
        <is>
          <t>E</t>
        </is>
      </c>
      <c r="J46" s="55" t="inlineStr">
        <is>
          <t>产品标签关联数据</t>
        </is>
      </c>
      <c r="K46" s="55" t="inlineStr">
        <is>
          <t>产品ID、旧标签ID、新标签ID</t>
        </is>
      </c>
      <c r="L46" s="54" t="inlineStr">
        <is>
          <t>新增</t>
        </is>
      </c>
      <c r="M46" s="56">
        <f>IF(L46="新增",1,IF(L46="复用",1/3,0))</f>
        <v/>
      </c>
      <c r="N46" s="22" t="n"/>
      <c r="O46" s="22" t="n"/>
      <c r="P46" s="22" t="n"/>
      <c r="Q46" s="22" t="n"/>
      <c r="R46" s="22" t="n"/>
    </row>
    <row r="47" ht="54" customHeight="1">
      <c r="A47" s="57" t="n"/>
      <c r="B47" s="57" t="n"/>
      <c r="C47" s="57" t="n"/>
      <c r="D47" s="58" t="n"/>
      <c r="E47" s="58" t="n"/>
      <c r="F47" s="58" t="n"/>
      <c r="G47" s="58" t="n"/>
      <c r="H47" s="55" t="inlineStr">
        <is>
          <t>更新产品关联标签字段</t>
        </is>
      </c>
      <c r="I47" s="54" t="inlineStr">
        <is>
          <t>W</t>
        </is>
      </c>
      <c r="J47" s="55" t="inlineStr">
        <is>
          <t>产品表</t>
        </is>
      </c>
      <c r="K47" s="55" t="inlineStr">
        <is>
          <t>产品ID、关联标签ID、更新时间</t>
        </is>
      </c>
      <c r="L47" s="54" t="inlineStr">
        <is>
          <t>新增</t>
        </is>
      </c>
      <c r="M47" s="56">
        <f>IF(L47="新增",1,IF(L47="复用",1/3,0))</f>
        <v/>
      </c>
      <c r="N47" s="22" t="n"/>
      <c r="O47" s="22" t="n"/>
      <c r="P47" s="22" t="n"/>
      <c r="Q47" s="22" t="n"/>
      <c r="R47" s="22" t="n"/>
    </row>
    <row r="48" ht="54" customHeight="1">
      <c r="A48" s="57" t="n"/>
      <c r="B48" s="57" t="n"/>
      <c r="C48" s="57" t="n"/>
      <c r="D48" s="54" t="inlineStr">
        <is>
          <t>活动预览</t>
        </is>
      </c>
      <c r="E48" s="54" t="inlineStr">
        <is>
          <t>发起者：操作员
接收者：地市后台</t>
        </is>
      </c>
      <c r="F48" s="54" t="inlineStr">
        <is>
          <t>用户触发</t>
        </is>
      </c>
      <c r="G48" s="54" t="inlineStr">
        <is>
          <t>活动预览</t>
        </is>
      </c>
      <c r="H48" s="55" t="inlineStr">
        <is>
          <t>点击预览按钮请求活动预览</t>
        </is>
      </c>
      <c r="I48" s="54" t="inlineStr">
        <is>
          <t>E</t>
        </is>
      </c>
      <c r="J48" s="55" t="inlineStr">
        <is>
          <t>预览请求</t>
        </is>
      </c>
      <c r="K48" s="55" t="inlineStr">
        <is>
          <t>活动ID、版本号、用户标识</t>
        </is>
      </c>
      <c r="L48" s="54" t="inlineStr">
        <is>
          <t>新增</t>
        </is>
      </c>
      <c r="M48" s="56">
        <f>IF(L48="新增",1,IF(L48="复用",1/3,0))</f>
        <v/>
      </c>
      <c r="N48" s="22" t="n"/>
      <c r="O48" s="22" t="n"/>
      <c r="P48" s="22" t="n"/>
      <c r="Q48" s="22" t="n"/>
      <c r="R48" s="22" t="n"/>
    </row>
    <row r="49" ht="54" customHeight="1">
      <c r="A49" s="57" t="n"/>
      <c r="B49" s="57" t="n"/>
      <c r="C49" s="57" t="n"/>
      <c r="D49" s="57" t="n"/>
      <c r="E49" s="57" t="n"/>
      <c r="F49" s="57" t="n"/>
      <c r="G49" s="57" t="n"/>
      <c r="H49" s="55" t="inlineStr">
        <is>
          <t>读取当前装修配置数据</t>
        </is>
      </c>
      <c r="I49" s="54" t="inlineStr">
        <is>
          <t>R</t>
        </is>
      </c>
      <c r="J49" s="55" t="inlineStr">
        <is>
          <t>装修配置数据</t>
        </is>
      </c>
      <c r="K49" s="55" t="inlineStr">
        <is>
          <t>组件列表、组件ID、组件类型、组件属性、布局设置、页面ID</t>
        </is>
      </c>
      <c r="L49" s="54" t="inlineStr">
        <is>
          <t>新增</t>
        </is>
      </c>
      <c r="M49" s="56">
        <f>IF(L49="新增",1,IF(L49="复用",1/3,0))</f>
        <v/>
      </c>
      <c r="N49" s="22" t="n"/>
      <c r="O49" s="22" t="n"/>
      <c r="P49" s="22" t="n"/>
      <c r="Q49" s="22" t="n"/>
      <c r="R49" s="22" t="n"/>
    </row>
    <row r="50" ht="54" customHeight="1">
      <c r="A50" s="57" t="n"/>
      <c r="B50" s="57" t="n"/>
      <c r="C50" s="57" t="n"/>
      <c r="D50" s="58" t="n"/>
      <c r="E50" s="58" t="n"/>
      <c r="F50" s="58" t="n"/>
      <c r="G50" s="58" t="n"/>
      <c r="H50" s="55" t="inlineStr">
        <is>
          <t>渲染并展示活动预览页面</t>
        </is>
      </c>
      <c r="I50" s="54" t="inlineStr">
        <is>
          <t>X</t>
        </is>
      </c>
      <c r="J50" s="55" t="inlineStr">
        <is>
          <t>预览页面响应</t>
        </is>
      </c>
      <c r="K50" s="55" t="inlineStr">
        <is>
          <t>组件树、组件属性、渲染样式、布局信息</t>
        </is>
      </c>
      <c r="L50" s="54" t="inlineStr">
        <is>
          <t>新增</t>
        </is>
      </c>
      <c r="M50" s="56">
        <f>IF(L50="新增",1,IF(L50="复用",1/3,0))</f>
        <v/>
      </c>
      <c r="N50" s="22" t="n"/>
      <c r="O50" s="22" t="n"/>
      <c r="P50" s="22" t="n"/>
      <c r="Q50" s="22" t="n"/>
      <c r="R50" s="22" t="n"/>
    </row>
    <row r="51" ht="54" customHeight="1">
      <c r="A51" s="57" t="n"/>
      <c r="B51" s="57" t="n"/>
      <c r="C51" s="57" t="n"/>
      <c r="D51" s="54" t="inlineStr">
        <is>
          <t>保存活动</t>
        </is>
      </c>
      <c r="E51" s="54" t="inlineStr">
        <is>
          <t>发起者：操作员
接收者：地市后台</t>
        </is>
      </c>
      <c r="F51" s="54" t="inlineStr">
        <is>
          <t>用户触发</t>
        </is>
      </c>
      <c r="G51" s="54" t="inlineStr">
        <is>
          <t>保存活动</t>
        </is>
      </c>
      <c r="H51" s="55" t="inlineStr">
        <is>
          <t>点击保存按钮提交活动配置数据</t>
        </is>
      </c>
      <c r="I51" s="54" t="inlineStr">
        <is>
          <t>E</t>
        </is>
      </c>
      <c r="J51" s="55" t="inlineStr">
        <is>
          <t>活动配置提交数据</t>
        </is>
      </c>
      <c r="K51" s="55" t="inlineStr">
        <is>
          <t>活动ID、活动名称、配置内容</t>
        </is>
      </c>
      <c r="L51" s="54" t="inlineStr">
        <is>
          <t>新增</t>
        </is>
      </c>
      <c r="M51" s="56">
        <f>IF(L51="新增",1,IF(L51="复用",1/3,0))</f>
        <v/>
      </c>
      <c r="N51" s="22" t="n"/>
      <c r="O51" s="22" t="n"/>
      <c r="P51" s="22" t="n"/>
      <c r="Q51" s="22" t="n"/>
      <c r="R51" s="22" t="n"/>
    </row>
    <row r="52" ht="54" customHeight="1">
      <c r="A52" s="57" t="n"/>
      <c r="B52" s="57" t="n"/>
      <c r="C52" s="58" t="n"/>
      <c r="D52" s="58" t="n"/>
      <c r="E52" s="58" t="n"/>
      <c r="F52" s="58" t="n"/>
      <c r="G52" s="58" t="n"/>
      <c r="H52" s="55" t="inlineStr">
        <is>
          <t>将活动配置数据写入系统数据库</t>
        </is>
      </c>
      <c r="I52" s="54" t="inlineStr">
        <is>
          <t>W</t>
        </is>
      </c>
      <c r="J52" s="55" t="inlineStr">
        <is>
          <t>活动配置表</t>
        </is>
      </c>
      <c r="K52" s="55" t="inlineStr">
        <is>
          <t>活动ID、活动名称、配置内容、创建时间、更新时间</t>
        </is>
      </c>
      <c r="L52" s="54" t="inlineStr">
        <is>
          <t>新增</t>
        </is>
      </c>
      <c r="M52" s="56">
        <f>IF(L52="新增",1,IF(L52="复用",1/3,0))</f>
        <v/>
      </c>
      <c r="N52" s="22" t="n"/>
      <c r="O52" s="22" t="n"/>
      <c r="P52" s="22" t="n"/>
      <c r="Q52" s="22" t="n"/>
      <c r="R52" s="22" t="n"/>
    </row>
    <row r="53" ht="54" customHeight="1">
      <c r="A53" s="57" t="n"/>
      <c r="B53" s="57" t="n"/>
      <c r="C53" s="54" t="inlineStr">
        <is>
          <t>小福包产品管理</t>
        </is>
      </c>
      <c r="D53" s="54" t="inlineStr">
        <is>
          <t>小福包产品列表</t>
        </is>
      </c>
      <c r="E53" s="54" t="inlineStr">
        <is>
          <t>发起者：操作员
接收者：地市后台</t>
        </is>
      </c>
      <c r="F53" s="54" t="inlineStr">
        <is>
          <t>用户触发</t>
        </is>
      </c>
      <c r="G53" s="54" t="inlineStr">
        <is>
          <t>小福包产品列表</t>
        </is>
      </c>
      <c r="H53" s="55" t="inlineStr">
        <is>
          <t>点击进入小福包产品列表页面或提交查询请求</t>
        </is>
      </c>
      <c r="I53" s="54" t="inlineStr">
        <is>
          <t>E</t>
        </is>
      </c>
      <c r="J53" s="55" t="inlineStr">
        <is>
          <t>小福包产品列表请求</t>
        </is>
      </c>
      <c r="K53" s="55" t="inlineStr">
        <is>
          <t>用户标识、分页参数、排序参数</t>
        </is>
      </c>
      <c r="L53" s="54" t="inlineStr">
        <is>
          <t>新增</t>
        </is>
      </c>
      <c r="M53" s="56">
        <f>IF(L53="新增",1,IF(L53="复用",1/3,0))</f>
        <v/>
      </c>
      <c r="N53" s="22" t="n"/>
      <c r="O53" s="22" t="n"/>
      <c r="P53" s="22" t="n"/>
      <c r="Q53" s="22" t="n"/>
      <c r="R53" s="22" t="n"/>
    </row>
    <row r="54" ht="54" customHeight="1">
      <c r="A54" s="57" t="n"/>
      <c r="B54" s="57" t="n"/>
      <c r="C54" s="57" t="n"/>
      <c r="D54" s="57" t="n"/>
      <c r="E54" s="57" t="n"/>
      <c r="F54" s="57" t="n"/>
      <c r="G54" s="57" t="n"/>
      <c r="H54" s="55" t="inlineStr">
        <is>
          <t>读取小福包产品列表数据</t>
        </is>
      </c>
      <c r="I54" s="54" t="inlineStr">
        <is>
          <t>R</t>
        </is>
      </c>
      <c r="J54" s="55" t="inlineStr">
        <is>
          <t>小福包产品表</t>
        </is>
      </c>
      <c r="K54" s="55" t="inlineStr">
        <is>
          <t>小福包名称、小福包编码、资费、子产品数量、变化</t>
        </is>
      </c>
      <c r="L54" s="54" t="inlineStr">
        <is>
          <t>新增</t>
        </is>
      </c>
      <c r="M54" s="56">
        <f>IF(L54="新增",1,IF(L54="复用",1/3,0))</f>
        <v/>
      </c>
      <c r="N54" s="22" t="n"/>
      <c r="O54" s="22" t="n"/>
      <c r="P54" s="22" t="n"/>
      <c r="Q54" s="22" t="n"/>
      <c r="R54" s="22" t="n"/>
    </row>
    <row r="55" ht="54" customHeight="1">
      <c r="A55" s="57" t="n"/>
      <c r="B55" s="57" t="n"/>
      <c r="C55" s="57" t="n"/>
      <c r="D55" s="58" t="n"/>
      <c r="E55" s="58" t="n"/>
      <c r="F55" s="58" t="n"/>
      <c r="G55" s="58" t="n"/>
      <c r="H55" s="55" t="inlineStr">
        <is>
          <t>返回并展示小福包产品列表页面</t>
        </is>
      </c>
      <c r="I55" s="54" t="inlineStr">
        <is>
          <t>X</t>
        </is>
      </c>
      <c r="J55" s="55" t="inlineStr">
        <is>
          <t>小福包产品列表响应</t>
        </is>
      </c>
      <c r="K55" s="55" t="inlineStr">
        <is>
          <t>产品列表、分页信息、排序信息</t>
        </is>
      </c>
      <c r="L55" s="54" t="inlineStr">
        <is>
          <t>新增</t>
        </is>
      </c>
      <c r="M55" s="56">
        <f>IF(L55="新增",1,IF(L55="复用",1/3,0))</f>
        <v/>
      </c>
      <c r="N55" s="22" t="n"/>
      <c r="O55" s="22" t="n"/>
      <c r="P55" s="22" t="n"/>
      <c r="Q55" s="22" t="n"/>
      <c r="R55" s="22" t="n"/>
    </row>
    <row r="56" ht="54" customHeight="1">
      <c r="A56" s="57" t="n"/>
      <c r="B56" s="57" t="n"/>
      <c r="C56" s="57" t="n"/>
      <c r="D56" s="54" t="inlineStr">
        <is>
          <t>小福包产品数据同步</t>
        </is>
      </c>
      <c r="E56" s="54" t="inlineStr">
        <is>
          <t>发起者：操作员
接收者：地市后台</t>
        </is>
      </c>
      <c r="F56" s="54" t="inlineStr">
        <is>
          <t>定时触发</t>
        </is>
      </c>
      <c r="G56" s="54" t="inlineStr">
        <is>
          <t>小福包产品数据同步</t>
        </is>
      </c>
      <c r="H56" s="55" t="inlineStr">
        <is>
          <t>定时凌晨2点更新小福包产品列表数据</t>
        </is>
      </c>
      <c r="I56" s="54" t="inlineStr">
        <is>
          <t>E</t>
        </is>
      </c>
      <c r="J56" s="55" t="inlineStr">
        <is>
          <t>列表更新指令</t>
        </is>
      </c>
      <c r="K56" s="55" t="inlineStr">
        <is>
          <t>小福包名称、编码、同步时间</t>
        </is>
      </c>
      <c r="L56" s="54" t="inlineStr">
        <is>
          <t>新增</t>
        </is>
      </c>
      <c r="M56" s="56">
        <f>IF(L56="新增",1,IF(L56="复用",1/3,0))</f>
        <v/>
      </c>
      <c r="N56" s="22" t="n"/>
      <c r="O56" s="22" t="n"/>
      <c r="P56" s="22" t="n"/>
      <c r="Q56" s="22" t="n"/>
      <c r="R56" s="22" t="n"/>
    </row>
    <row r="57" ht="54" customHeight="1">
      <c r="A57" s="57" t="n"/>
      <c r="B57" s="57" t="n"/>
      <c r="C57" s="57" t="n"/>
      <c r="D57" s="57" t="n"/>
      <c r="E57" s="57" t="n"/>
      <c r="F57" s="57" t="n"/>
      <c r="G57" s="57" t="n"/>
      <c r="H57" s="55" t="inlineStr">
        <is>
          <t>调用小福包产品列表查询接口获取产品列表数据</t>
        </is>
      </c>
      <c r="I57" s="54" t="inlineStr">
        <is>
          <t>R</t>
        </is>
      </c>
      <c r="J57" s="55" t="inlineStr">
        <is>
          <t>小福包产品表格</t>
        </is>
      </c>
      <c r="K57" s="55" t="inlineStr">
        <is>
          <t>ID、小福包标识、类型、名称、费用</t>
        </is>
      </c>
      <c r="L57" s="54" t="inlineStr">
        <is>
          <t>新增</t>
        </is>
      </c>
      <c r="M57" s="56">
        <f>IF(L57="新增",1,IF(L57="复用",1/3,0))</f>
        <v/>
      </c>
      <c r="N57" s="22" t="n"/>
      <c r="O57" s="22" t="n"/>
      <c r="P57" s="22" t="n"/>
      <c r="Q57" s="22" t="n"/>
      <c r="R57" s="22" t="n"/>
    </row>
    <row r="58" ht="54" customHeight="1">
      <c r="A58" s="57" t="n"/>
      <c r="B58" s="57" t="n"/>
      <c r="C58" s="57" t="n"/>
      <c r="D58" s="58" t="n"/>
      <c r="E58" s="58" t="n"/>
      <c r="F58" s="58" t="n"/>
      <c r="G58" s="58" t="n"/>
      <c r="H58" s="55" t="inlineStr">
        <is>
          <t>解析并对本地表执行新增/更新/删除</t>
        </is>
      </c>
      <c r="I58" s="54" t="inlineStr">
        <is>
          <t>W</t>
        </is>
      </c>
      <c r="J58" s="55" t="inlineStr">
        <is>
          <t>列表响应</t>
        </is>
      </c>
      <c r="K58" s="55" t="inlineStr">
        <is>
          <t>产品信息、字段排序、列表组合</t>
        </is>
      </c>
      <c r="L58" s="54" t="inlineStr">
        <is>
          <t>新增</t>
        </is>
      </c>
      <c r="M58" s="56">
        <f>IF(L58="新增",1,IF(L58="复用",1/3,0))</f>
        <v/>
      </c>
      <c r="N58" s="22" t="n"/>
      <c r="O58" s="22" t="n"/>
      <c r="P58" s="22" t="n"/>
      <c r="Q58" s="22" t="n"/>
      <c r="R58" s="22" t="n"/>
    </row>
    <row r="59" ht="54" customHeight="1">
      <c r="A59" s="57" t="n"/>
      <c r="B59" s="57" t="n"/>
      <c r="C59" s="57" t="n"/>
      <c r="D59" s="54" t="inlineStr">
        <is>
          <t>小福包产品编辑</t>
        </is>
      </c>
      <c r="E59" s="54" t="inlineStr">
        <is>
          <t>发起者：操作员
接收者：地市后台</t>
        </is>
      </c>
      <c r="F59" s="54" t="inlineStr">
        <is>
          <t>用户触发</t>
        </is>
      </c>
      <c r="G59" s="54" t="inlineStr">
        <is>
          <t>小福包产品编辑页面</t>
        </is>
      </c>
      <c r="H59" s="55" t="inlineStr">
        <is>
          <t>点击产品编辑按钮进入编辑页面</t>
        </is>
      </c>
      <c r="I59" s="54" t="inlineStr">
        <is>
          <t>E</t>
        </is>
      </c>
      <c r="J59" s="55" t="inlineStr">
        <is>
          <t>编辑页面请求</t>
        </is>
      </c>
      <c r="K59" s="55" t="inlineStr">
        <is>
          <t>产品ID、用户ID、页面标识</t>
        </is>
      </c>
      <c r="L59" s="54" t="inlineStr">
        <is>
          <t>新增</t>
        </is>
      </c>
      <c r="M59" s="56">
        <f>IF(L59="新增",1,IF(L59="复用",1/3,0))</f>
        <v/>
      </c>
      <c r="N59" s="22" t="n"/>
      <c r="O59" s="22" t="n"/>
      <c r="P59" s="22" t="n"/>
      <c r="Q59" s="22" t="n"/>
      <c r="R59" s="22" t="n"/>
    </row>
    <row r="60" ht="54" customHeight="1">
      <c r="A60" s="57" t="n"/>
      <c r="B60" s="57" t="n"/>
      <c r="C60" s="57" t="n"/>
      <c r="D60" s="57" t="n"/>
      <c r="E60" s="57" t="n"/>
      <c r="F60" s="57" t="n"/>
      <c r="G60" s="57" t="n"/>
      <c r="H60" s="55" t="inlineStr">
        <is>
          <t>读取小福包产品数据</t>
        </is>
      </c>
      <c r="I60" s="54" t="inlineStr">
        <is>
          <t>R</t>
        </is>
      </c>
      <c r="J60" s="55" t="inlineStr">
        <is>
          <t>小福包产品表</t>
        </is>
      </c>
      <c r="K60" s="55" t="inlineStr">
        <is>
          <t>产品ID、名称、编码、业务描述、资费</t>
        </is>
      </c>
      <c r="L60" s="54" t="inlineStr">
        <is>
          <t>新增</t>
        </is>
      </c>
      <c r="M60" s="56">
        <f>IF(L60="新增",1,IF(L60="复用",1/3,0))</f>
        <v/>
      </c>
      <c r="N60" s="22" t="n"/>
      <c r="O60" s="22" t="n"/>
      <c r="P60" s="22" t="n"/>
      <c r="Q60" s="22" t="n"/>
      <c r="R60" s="22" t="n"/>
    </row>
    <row r="61" ht="54" customHeight="1">
      <c r="A61" s="57" t="n"/>
      <c r="B61" s="57" t="n"/>
      <c r="C61" s="57" t="n"/>
      <c r="D61" s="57" t="n"/>
      <c r="E61" s="58" t="n"/>
      <c r="F61" s="58" t="n"/>
      <c r="G61" s="58" t="n"/>
      <c r="H61" s="55" t="inlineStr">
        <is>
          <t>展示小福包产品编辑页面</t>
        </is>
      </c>
      <c r="I61" s="54" t="inlineStr">
        <is>
          <t>X</t>
        </is>
      </c>
      <c r="J61" s="55" t="inlineStr">
        <is>
          <t>编辑页面响应</t>
        </is>
      </c>
      <c r="K61" s="55" t="inlineStr">
        <is>
          <t>产品名称、编码、业务描述、子商品列表、附加业务列表</t>
        </is>
      </c>
      <c r="L61" s="54" t="inlineStr">
        <is>
          <t>新增</t>
        </is>
      </c>
      <c r="M61" s="56">
        <f>IF(L61="新增",1,IF(L61="复用",1/3,0))</f>
        <v/>
      </c>
      <c r="N61" s="22" t="n"/>
      <c r="O61" s="22" t="n"/>
      <c r="P61" s="22" t="n"/>
      <c r="Q61" s="22" t="n"/>
      <c r="R61" s="22" t="n"/>
    </row>
    <row r="62" ht="54" customHeight="1">
      <c r="A62" s="57" t="n"/>
      <c r="B62" s="57" t="n"/>
      <c r="C62" s="57" t="n"/>
      <c r="D62" s="57" t="n"/>
      <c r="E62" s="54" t="inlineStr">
        <is>
          <t>发起者：操作员
接收者：地市后台</t>
        </is>
      </c>
      <c r="F62" s="54" t="inlineStr">
        <is>
          <t>用户触发</t>
        </is>
      </c>
      <c r="G62" s="54" t="inlineStr">
        <is>
          <t>编辑子业务</t>
        </is>
      </c>
      <c r="H62" s="55" t="inlineStr">
        <is>
          <t>点击子业务编辑按钮</t>
        </is>
      </c>
      <c r="I62" s="54" t="inlineStr">
        <is>
          <t>E</t>
        </is>
      </c>
      <c r="J62" s="55" t="inlineStr">
        <is>
          <t>编辑子业务请求</t>
        </is>
      </c>
      <c r="K62" s="55" t="inlineStr">
        <is>
          <t>子业务ID、父产品ID、用户ID</t>
        </is>
      </c>
      <c r="L62" s="54" t="inlineStr">
        <is>
          <t>新增</t>
        </is>
      </c>
      <c r="M62" s="56">
        <f>IF(L62="新增",1,IF(L62="复用",1/3,0))</f>
        <v/>
      </c>
      <c r="N62" s="22" t="n"/>
      <c r="O62" s="22" t="n"/>
      <c r="P62" s="22" t="n"/>
      <c r="Q62" s="22" t="n"/>
      <c r="R62" s="22" t="n"/>
    </row>
    <row r="63" ht="54" customHeight="1">
      <c r="A63" s="57" t="n"/>
      <c r="B63" s="57" t="n"/>
      <c r="C63" s="57" t="n"/>
      <c r="D63" s="57" t="n"/>
      <c r="E63" s="57" t="n"/>
      <c r="F63" s="57" t="n"/>
      <c r="G63" s="57" t="n"/>
      <c r="H63" s="55" t="inlineStr">
        <is>
          <t>读取子业务数据</t>
        </is>
      </c>
      <c r="I63" s="54" t="inlineStr">
        <is>
          <t>R</t>
        </is>
      </c>
      <c r="J63" s="55" t="inlineStr">
        <is>
          <t>子业务信息表</t>
        </is>
      </c>
      <c r="K63" s="55" t="inlineStr">
        <is>
          <t>子业务ID、名称、描述、生效时间、状态</t>
        </is>
      </c>
      <c r="L63" s="54" t="inlineStr">
        <is>
          <t>新增</t>
        </is>
      </c>
      <c r="M63" s="56">
        <f>IF(L63="新增",1,IF(L63="复用",1/3,0))</f>
        <v/>
      </c>
      <c r="N63" s="22" t="n"/>
      <c r="O63" s="22" t="n"/>
      <c r="P63" s="22" t="n"/>
      <c r="Q63" s="22" t="n"/>
      <c r="R63" s="22" t="n"/>
    </row>
    <row r="64" ht="54" customHeight="1">
      <c r="A64" s="57" t="n"/>
      <c r="B64" s="57" t="n"/>
      <c r="C64" s="57" t="n"/>
      <c r="D64" s="57" t="n"/>
      <c r="E64" s="58" t="n"/>
      <c r="F64" s="58" t="n"/>
      <c r="G64" s="58" t="n"/>
      <c r="H64" s="55" t="inlineStr">
        <is>
          <t>展示子业务编辑表单</t>
        </is>
      </c>
      <c r="I64" s="54" t="inlineStr">
        <is>
          <t>X</t>
        </is>
      </c>
      <c r="J64" s="55" t="inlineStr">
        <is>
          <t>子业务编辑表单响应</t>
        </is>
      </c>
      <c r="K64" s="55" t="inlineStr">
        <is>
          <t>子业务名称、描述、生效时间、状态、排序</t>
        </is>
      </c>
      <c r="L64" s="54" t="inlineStr">
        <is>
          <t>新增</t>
        </is>
      </c>
      <c r="M64" s="56">
        <f>IF(L64="新增",1,IF(L64="复用",1/3,0))</f>
        <v/>
      </c>
      <c r="N64" s="22" t="n"/>
      <c r="O64" s="22" t="n"/>
      <c r="P64" s="22" t="n"/>
      <c r="Q64" s="22" t="n"/>
      <c r="R64" s="22" t="n"/>
    </row>
    <row r="65" ht="54" customHeight="1">
      <c r="A65" s="57" t="n"/>
      <c r="B65" s="57" t="n"/>
      <c r="C65" s="57" t="n"/>
      <c r="D65" s="57" t="n"/>
      <c r="E65" s="54" t="inlineStr">
        <is>
          <t>发起者：操作员
接收者：地市后台</t>
        </is>
      </c>
      <c r="F65" s="54" t="inlineStr">
        <is>
          <t>用户触发</t>
        </is>
      </c>
      <c r="G65" s="54" t="inlineStr">
        <is>
          <t>添加附加业务</t>
        </is>
      </c>
      <c r="H65" s="55" t="inlineStr">
        <is>
          <t>点击添加附加业务按钮</t>
        </is>
      </c>
      <c r="I65" s="54" t="inlineStr">
        <is>
          <t>E</t>
        </is>
      </c>
      <c r="J65" s="55" t="inlineStr">
        <is>
          <t>添加附加业务请求</t>
        </is>
      </c>
      <c r="K65" s="55" t="inlineStr">
        <is>
          <t>产品ID、用户ID、操作类型</t>
        </is>
      </c>
      <c r="L65" s="54" t="inlineStr">
        <is>
          <t>新增</t>
        </is>
      </c>
      <c r="M65" s="56">
        <f>IF(L65="新增",1,IF(L65="复用",1/3,0))</f>
        <v/>
      </c>
      <c r="N65" s="22" t="n"/>
      <c r="O65" s="22" t="n"/>
      <c r="P65" s="22" t="n"/>
      <c r="Q65" s="22" t="n"/>
      <c r="R65" s="22" t="n"/>
    </row>
    <row r="66" ht="54" customHeight="1">
      <c r="A66" s="57" t="n"/>
      <c r="B66" s="57" t="n"/>
      <c r="C66" s="57" t="n"/>
      <c r="D66" s="57" t="n"/>
      <c r="E66" s="58" t="n"/>
      <c r="F66" s="58" t="n"/>
      <c r="G66" s="58" t="n"/>
      <c r="H66" s="55" t="inlineStr">
        <is>
          <t>展示附加业务添加表单</t>
        </is>
      </c>
      <c r="I66" s="54" t="inlineStr">
        <is>
          <t>X</t>
        </is>
      </c>
      <c r="J66" s="55" t="inlineStr">
        <is>
          <t>附加业务添加表单响应</t>
        </is>
      </c>
      <c r="K66" s="55" t="inlineStr">
        <is>
          <t>营销案ID、用户标签ID、附加业务名称</t>
        </is>
      </c>
      <c r="L66" s="54" t="inlineStr">
        <is>
          <t>新增</t>
        </is>
      </c>
      <c r="M66" s="56">
        <f>IF(L66="新增",1,IF(L66="复用",1/3,0))</f>
        <v/>
      </c>
      <c r="N66" s="22" t="n"/>
      <c r="O66" s="22" t="n"/>
      <c r="P66" s="22" t="n"/>
      <c r="Q66" s="22" t="n"/>
      <c r="R66" s="22" t="n"/>
    </row>
    <row r="67" ht="54" customHeight="1">
      <c r="A67" s="57" t="n"/>
      <c r="B67" s="57" t="n"/>
      <c r="C67" s="57" t="n"/>
      <c r="D67" s="57" t="n"/>
      <c r="E67" s="54" t="inlineStr">
        <is>
          <t>发起者：操作员
接收者：地市后台</t>
        </is>
      </c>
      <c r="F67" s="54" t="inlineStr">
        <is>
          <t>用户触发</t>
        </is>
      </c>
      <c r="G67" s="54" t="inlineStr">
        <is>
          <t>获取营销案列表</t>
        </is>
      </c>
      <c r="H67" s="55" t="inlineStr">
        <is>
          <t>输入查询条件并请求营销案列表</t>
        </is>
      </c>
      <c r="I67" s="54" t="inlineStr">
        <is>
          <t>E</t>
        </is>
      </c>
      <c r="J67" s="55" t="inlineStr">
        <is>
          <t>营销案查询请求</t>
        </is>
      </c>
      <c r="K67" s="55" t="inlineStr">
        <is>
          <t>查询关键词、类型、状态</t>
        </is>
      </c>
      <c r="L67" s="54" t="inlineStr">
        <is>
          <t>新增</t>
        </is>
      </c>
      <c r="M67" s="56">
        <f>IF(L67="新增",1,IF(L67="复用",1/3,0))</f>
        <v/>
      </c>
      <c r="N67" s="22" t="n"/>
      <c r="O67" s="22" t="n"/>
      <c r="P67" s="22" t="n"/>
      <c r="Q67" s="22" t="n"/>
      <c r="R67" s="22" t="n"/>
    </row>
    <row r="68" ht="54" customHeight="1">
      <c r="A68" s="57" t="n"/>
      <c r="B68" s="57" t="n"/>
      <c r="C68" s="57" t="n"/>
      <c r="D68" s="57" t="n"/>
      <c r="E68" s="57" t="n"/>
      <c r="F68" s="57" t="n"/>
      <c r="G68" s="57" t="n"/>
      <c r="H68" s="55" t="inlineStr">
        <is>
          <t>读取营销案列表数据</t>
        </is>
      </c>
      <c r="I68" s="54" t="inlineStr">
        <is>
          <t>R</t>
        </is>
      </c>
      <c r="J68" s="55" t="inlineStr">
        <is>
          <t>营销案信息表</t>
        </is>
      </c>
      <c r="K68" s="55" t="inlineStr">
        <is>
          <t>营销案ID、名称、类型、状态、生效时间</t>
        </is>
      </c>
      <c r="L68" s="54" t="inlineStr">
        <is>
          <t>新增</t>
        </is>
      </c>
      <c r="M68" s="56">
        <f>IF(L68="新增",1,IF(L68="复用",1/3,0))</f>
        <v/>
      </c>
      <c r="N68" s="22" t="n"/>
      <c r="O68" s="22" t="n"/>
      <c r="P68" s="22" t="n"/>
      <c r="Q68" s="22" t="n"/>
      <c r="R68" s="22" t="n"/>
    </row>
    <row r="69" ht="54" customHeight="1">
      <c r="A69" s="57" t="n"/>
      <c r="B69" s="57" t="n"/>
      <c r="C69" s="57" t="n"/>
      <c r="D69" s="57" t="n"/>
      <c r="E69" s="58" t="n"/>
      <c r="F69" s="58" t="n"/>
      <c r="G69" s="58" t="n"/>
      <c r="H69" s="55" t="inlineStr">
        <is>
          <t>展示营销案列表</t>
        </is>
      </c>
      <c r="I69" s="54" t="inlineStr">
        <is>
          <t>X</t>
        </is>
      </c>
      <c r="J69" s="55" t="inlineStr">
        <is>
          <t>营销案列表响应</t>
        </is>
      </c>
      <c r="K69" s="55" t="inlineStr">
        <is>
          <t>营销案ID、名称、类型、状态、生效时间</t>
        </is>
      </c>
      <c r="L69" s="54" t="inlineStr">
        <is>
          <t>新增</t>
        </is>
      </c>
      <c r="M69" s="56">
        <f>IF(L69="新增",1,IF(L69="复用",1/3,0))</f>
        <v/>
      </c>
      <c r="N69" s="22" t="n"/>
      <c r="O69" s="22" t="n"/>
      <c r="P69" s="22" t="n"/>
      <c r="Q69" s="22" t="n"/>
      <c r="R69" s="22" t="n"/>
    </row>
    <row r="70" ht="54" customHeight="1">
      <c r="A70" s="57" t="n"/>
      <c r="B70" s="57" t="n"/>
      <c r="C70" s="57" t="n"/>
      <c r="D70" s="57" t="n"/>
      <c r="E70" s="54" t="inlineStr">
        <is>
          <t>发起者：操作员
接收者：地市后台</t>
        </is>
      </c>
      <c r="F70" s="54" t="inlineStr">
        <is>
          <t>用户触发</t>
        </is>
      </c>
      <c r="G70" s="54" t="inlineStr">
        <is>
          <t>选择添加营销案</t>
        </is>
      </c>
      <c r="H70" s="55" t="inlineStr">
        <is>
          <t>选择营销案并确认添加</t>
        </is>
      </c>
      <c r="I70" s="54" t="inlineStr">
        <is>
          <t>E</t>
        </is>
      </c>
      <c r="J70" s="55" t="inlineStr">
        <is>
          <t>添加营销案指令</t>
        </is>
      </c>
      <c r="K70" s="55" t="inlineStr">
        <is>
          <t>营销案ID、产品ID、用户ID</t>
        </is>
      </c>
      <c r="L70" s="54" t="inlineStr">
        <is>
          <t>新增</t>
        </is>
      </c>
      <c r="M70" s="56">
        <f>IF(L70="新增",1,IF(L70="复用",1/3,0))</f>
        <v/>
      </c>
      <c r="N70" s="22" t="n"/>
      <c r="O70" s="22" t="n"/>
      <c r="P70" s="22" t="n"/>
      <c r="Q70" s="22" t="n"/>
      <c r="R70" s="22" t="n"/>
    </row>
    <row r="71" ht="54" customHeight="1">
      <c r="A71" s="57" t="n"/>
      <c r="B71" s="57" t="n"/>
      <c r="C71" s="57" t="n"/>
      <c r="D71" s="57" t="n"/>
      <c r="E71" s="58" t="n"/>
      <c r="F71" s="58" t="n"/>
      <c r="G71" s="58" t="n"/>
      <c r="H71" s="55" t="inlineStr">
        <is>
          <t>存储营销案与附加业务关联关系</t>
        </is>
      </c>
      <c r="I71" s="54" t="inlineStr">
        <is>
          <t>W</t>
        </is>
      </c>
      <c r="J71" s="55" t="inlineStr">
        <is>
          <t>附加业务关联表</t>
        </is>
      </c>
      <c r="K71" s="55" t="inlineStr">
        <is>
          <t>产品ID、营销案ID、添加时间、操作人</t>
        </is>
      </c>
      <c r="L71" s="54" t="inlineStr">
        <is>
          <t>新增</t>
        </is>
      </c>
      <c r="M71" s="56">
        <f>IF(L71="新增",1,IF(L71="复用",1/3,0))</f>
        <v/>
      </c>
      <c r="N71" s="22" t="n"/>
      <c r="O71" s="22" t="n"/>
      <c r="P71" s="22" t="n"/>
      <c r="Q71" s="22" t="n"/>
      <c r="R71" s="22" t="n"/>
    </row>
    <row r="72" ht="54" customHeight="1">
      <c r="A72" s="57" t="n"/>
      <c r="B72" s="57" t="n"/>
      <c r="C72" s="57" t="n"/>
      <c r="D72" s="57" t="n"/>
      <c r="E72" s="54" t="inlineStr">
        <is>
          <t>发起者：操作员
接收者：地市后台</t>
        </is>
      </c>
      <c r="F72" s="54" t="inlineStr">
        <is>
          <t>用户触发</t>
        </is>
      </c>
      <c r="G72" s="54" t="inlineStr">
        <is>
          <t>获取用户标签列表</t>
        </is>
      </c>
      <c r="H72" s="55" t="inlineStr">
        <is>
          <t>输入查询条件并请求用户标签列表</t>
        </is>
      </c>
      <c r="I72" s="54" t="inlineStr">
        <is>
          <t>E</t>
        </is>
      </c>
      <c r="J72" s="55" t="inlineStr">
        <is>
          <t>用户标签查询请求</t>
        </is>
      </c>
      <c r="K72" s="55" t="inlineStr">
        <is>
          <t>标签名称、类型、状态</t>
        </is>
      </c>
      <c r="L72" s="54" t="inlineStr">
        <is>
          <t>新增</t>
        </is>
      </c>
      <c r="M72" s="56">
        <f>IF(L72="新增",1,IF(L72="复用",1/3,0))</f>
        <v/>
      </c>
      <c r="N72" s="22" t="n"/>
      <c r="O72" s="22" t="n"/>
      <c r="P72" s="22" t="n"/>
      <c r="Q72" s="22" t="n"/>
      <c r="R72" s="22" t="n"/>
    </row>
    <row r="73" ht="54" customHeight="1">
      <c r="A73" s="57" t="n"/>
      <c r="B73" s="57" t="n"/>
      <c r="C73" s="57" t="n"/>
      <c r="D73" s="57" t="n"/>
      <c r="E73" s="57" t="n"/>
      <c r="F73" s="57" t="n"/>
      <c r="G73" s="57" t="n"/>
      <c r="H73" s="55" t="inlineStr">
        <is>
          <t>读取用户标签列表数据</t>
        </is>
      </c>
      <c r="I73" s="54" t="inlineStr">
        <is>
          <t>R</t>
        </is>
      </c>
      <c r="J73" s="55" t="inlineStr">
        <is>
          <t>用户标签信息表</t>
        </is>
      </c>
      <c r="K73" s="55" t="inlineStr">
        <is>
          <t>标签ID、名称、类型、状态、描述</t>
        </is>
      </c>
      <c r="L73" s="54" t="inlineStr">
        <is>
          <t>新增</t>
        </is>
      </c>
      <c r="M73" s="56">
        <f>IF(L73="新增",1,IF(L73="复用",1/3,0))</f>
        <v/>
      </c>
      <c r="N73" s="22" t="n"/>
      <c r="O73" s="22" t="n"/>
      <c r="P73" s="22" t="n"/>
      <c r="Q73" s="22" t="n"/>
      <c r="R73" s="22" t="n"/>
    </row>
    <row r="74" ht="54" customHeight="1">
      <c r="A74" s="57" t="n"/>
      <c r="B74" s="57" t="n"/>
      <c r="C74" s="57" t="n"/>
      <c r="D74" s="57" t="n"/>
      <c r="E74" s="58" t="n"/>
      <c r="F74" s="58" t="n"/>
      <c r="G74" s="58" t="n"/>
      <c r="H74" s="55" t="inlineStr">
        <is>
          <t>展示用户标签列表</t>
        </is>
      </c>
      <c r="I74" s="54" t="inlineStr">
        <is>
          <t>X</t>
        </is>
      </c>
      <c r="J74" s="55" t="inlineStr">
        <is>
          <t>用户标签列表响应</t>
        </is>
      </c>
      <c r="K74" s="55" t="inlineStr">
        <is>
          <t>标签ID、名称、类型、状态、描述</t>
        </is>
      </c>
      <c r="L74" s="54" t="inlineStr">
        <is>
          <t>新增</t>
        </is>
      </c>
      <c r="M74" s="56">
        <f>IF(L74="新增",1,IF(L74="复用",1/3,0))</f>
        <v/>
      </c>
    </row>
    <row r="75" ht="54" customHeight="1">
      <c r="A75" s="57" t="n"/>
      <c r="B75" s="57" t="n"/>
      <c r="C75" s="57" t="n"/>
      <c r="D75" s="57" t="n"/>
      <c r="E75" s="54" t="inlineStr">
        <is>
          <t>发起者：操作员
接收者：地市后台</t>
        </is>
      </c>
      <c r="F75" s="54" t="inlineStr">
        <is>
          <t>用户触发</t>
        </is>
      </c>
      <c r="G75" s="54" t="inlineStr">
        <is>
          <t>选择关联用户标签</t>
        </is>
      </c>
      <c r="H75" s="55" t="inlineStr">
        <is>
          <t>选择用户标签并确认关联</t>
        </is>
      </c>
      <c r="I75" s="54" t="inlineStr">
        <is>
          <t>E</t>
        </is>
      </c>
      <c r="J75" s="55" t="inlineStr">
        <is>
          <t>关联标签指令</t>
        </is>
      </c>
      <c r="K75" s="55" t="inlineStr">
        <is>
          <t>标签ID、产品ID、用户ID</t>
        </is>
      </c>
      <c r="L75" s="54" t="inlineStr">
        <is>
          <t>新增</t>
        </is>
      </c>
      <c r="M75" s="56">
        <f>IF(L75="新增",1,IF(L75="复用",1/3,0))</f>
        <v/>
      </c>
    </row>
    <row r="76" ht="54" customHeight="1">
      <c r="A76" s="57" t="n"/>
      <c r="B76" s="57" t="n"/>
      <c r="C76" s="57" t="n"/>
      <c r="D76" s="57" t="n"/>
      <c r="E76" s="58" t="n"/>
      <c r="F76" s="58" t="n"/>
      <c r="G76" s="58" t="n"/>
      <c r="H76" s="55" t="inlineStr">
        <is>
          <t>存储标签与附加业务关联关系</t>
        </is>
      </c>
      <c r="I76" s="54" t="inlineStr">
        <is>
          <t>W</t>
        </is>
      </c>
      <c r="J76" s="55" t="inlineStr">
        <is>
          <t>标签关联表</t>
        </is>
      </c>
      <c r="K76" s="55" t="inlineStr">
        <is>
          <t>产品ID、标签ID、关联时间、操作人</t>
        </is>
      </c>
      <c r="L76" s="54" t="inlineStr">
        <is>
          <t>新增</t>
        </is>
      </c>
      <c r="M76" s="56">
        <f>IF(L76="新增",1,IF(L76="复用",1/3,0))</f>
        <v/>
      </c>
    </row>
    <row r="77" ht="54" customHeight="1">
      <c r="A77" s="57" t="n"/>
      <c r="B77" s="57" t="n"/>
      <c r="C77" s="57" t="n"/>
      <c r="D77" s="57" t="n"/>
      <c r="E77" s="54" t="inlineStr">
        <is>
          <t>发起者：操作员
接收者：地市后台</t>
        </is>
      </c>
      <c r="F77" s="54" t="inlineStr">
        <is>
          <t>用户触发</t>
        </is>
      </c>
      <c r="G77" s="54" t="inlineStr">
        <is>
          <t>删除附加业务</t>
        </is>
      </c>
      <c r="H77" s="55" t="inlineStr">
        <is>
          <t>点击删除附加业务按钮</t>
        </is>
      </c>
      <c r="I77" s="54" t="inlineStr">
        <is>
          <t>E</t>
        </is>
      </c>
      <c r="J77" s="55" t="inlineStr">
        <is>
          <t>删除指令</t>
        </is>
      </c>
      <c r="K77" s="55" t="inlineStr">
        <is>
          <t>附加业务ID、产品ID、用户ID</t>
        </is>
      </c>
      <c r="L77" s="54" t="inlineStr">
        <is>
          <t>新增</t>
        </is>
      </c>
      <c r="M77" s="56">
        <f>IF(L77="新增",1,IF(L77="复用",1/3,0))</f>
        <v/>
      </c>
    </row>
    <row r="78" ht="54" customHeight="1">
      <c r="A78" s="57" t="n"/>
      <c r="B78" s="57" t="n"/>
      <c r="C78" s="57" t="n"/>
      <c r="D78" s="57" t="n"/>
      <c r="E78" s="58" t="n"/>
      <c r="F78" s="58" t="n"/>
      <c r="G78" s="58" t="n"/>
      <c r="H78" s="55" t="inlineStr">
        <is>
          <t>从附加业务表删除记录</t>
        </is>
      </c>
      <c r="I78" s="54" t="inlineStr">
        <is>
          <t>W</t>
        </is>
      </c>
      <c r="J78" s="55" t="inlineStr">
        <is>
          <t>附加业务表</t>
        </is>
      </c>
      <c r="K78" s="55" t="inlineStr">
        <is>
          <t>附加业务ID、产品ID、营销案ID、标签ID</t>
        </is>
      </c>
      <c r="L78" s="54" t="inlineStr">
        <is>
          <t>新增</t>
        </is>
      </c>
      <c r="M78" s="56">
        <f>IF(L78="新增",1,IF(L78="复用",1/3,0))</f>
        <v/>
      </c>
    </row>
    <row r="79" ht="54" customHeight="1">
      <c r="A79" s="57" t="n"/>
      <c r="B79" s="57" t="n"/>
      <c r="C79" s="57" t="n"/>
      <c r="D79" s="57" t="n"/>
      <c r="E79" s="54" t="inlineStr">
        <is>
          <t>发起者：操作员
接收者：地市后台</t>
        </is>
      </c>
      <c r="F79" s="54" t="inlineStr">
        <is>
          <t>用户触发</t>
        </is>
      </c>
      <c r="G79" s="54" t="inlineStr">
        <is>
          <t>保存小福包产品编辑内容</t>
        </is>
      </c>
      <c r="H79" s="55" t="inlineStr">
        <is>
          <t>提交完整的产品及子业务编辑数据</t>
        </is>
      </c>
      <c r="I79" s="54" t="inlineStr">
        <is>
          <t>E</t>
        </is>
      </c>
      <c r="J79" s="55" t="inlineStr">
        <is>
          <t>产品编辑提交数据</t>
        </is>
      </c>
      <c r="K79" s="55" t="inlineStr">
        <is>
          <t>产品ID、名称、编码、业务描述、资费、子业务列表</t>
        </is>
      </c>
      <c r="L79" s="54" t="inlineStr">
        <is>
          <t>新增</t>
        </is>
      </c>
      <c r="M79" s="56">
        <f>IF(L79="新增",1,IF(L79="复用",1/3,0))</f>
        <v/>
      </c>
    </row>
    <row r="80" ht="54" customHeight="1">
      <c r="A80" s="57" t="n"/>
      <c r="B80" s="57" t="n"/>
      <c r="C80" s="57" t="n"/>
      <c r="D80" s="57" t="n"/>
      <c r="E80" s="57" t="n"/>
      <c r="F80" s="57" t="n"/>
      <c r="G80" s="57" t="n"/>
      <c r="H80" s="55" t="inlineStr">
        <is>
          <t>更新产品主表信息</t>
        </is>
      </c>
      <c r="I80" s="54" t="inlineStr">
        <is>
          <t>W</t>
        </is>
      </c>
      <c r="J80" s="55" t="inlineStr">
        <is>
          <t>小福包产品表</t>
        </is>
      </c>
      <c r="K80" s="55" t="inlineStr">
        <is>
          <t>产品ID、名称、编码、业务描述、资费、更新时间</t>
        </is>
      </c>
      <c r="L80" s="54" t="inlineStr">
        <is>
          <t>新增</t>
        </is>
      </c>
      <c r="M80" s="56">
        <f>IF(L80="新增",1,IF(L80="复用",1/3,0))</f>
        <v/>
      </c>
    </row>
    <row r="81" ht="54" customHeight="1">
      <c r="A81" s="57" t="n"/>
      <c r="B81" s="57" t="n"/>
      <c r="C81" s="58" t="n"/>
      <c r="D81" s="58" t="n"/>
      <c r="E81" s="58" t="n"/>
      <c r="F81" s="58" t="n"/>
      <c r="G81" s="58" t="n"/>
      <c r="H81" s="55" t="inlineStr">
        <is>
          <t>更新子业务信息表</t>
        </is>
      </c>
      <c r="I81" s="54" t="inlineStr">
        <is>
          <t>W</t>
        </is>
      </c>
      <c r="J81" s="55" t="inlineStr">
        <is>
          <t>子业务信息表</t>
        </is>
      </c>
      <c r="K81" s="55" t="inlineStr">
        <is>
          <t>子业务ID、名称、描述、生效时间、状态、父产品ID</t>
        </is>
      </c>
      <c r="L81" s="54" t="inlineStr">
        <is>
          <t>新增</t>
        </is>
      </c>
      <c r="M81" s="56">
        <f>IF(L81="新增",1,IF(L81="复用",1/3,0))</f>
        <v/>
      </c>
    </row>
    <row r="82" ht="54" customHeight="1">
      <c r="A82" s="57" t="n"/>
      <c r="B82" s="57" t="n"/>
      <c r="C82" s="54" t="inlineStr">
        <is>
          <t>订单管理</t>
        </is>
      </c>
      <c r="D82" s="54" t="inlineStr">
        <is>
          <t>融合宽带订单列表</t>
        </is>
      </c>
      <c r="E82" s="54" t="inlineStr">
        <is>
          <t>发起者：操作员
接收者：地市后台</t>
        </is>
      </c>
      <c r="F82" s="54" t="inlineStr">
        <is>
          <t>用户触发</t>
        </is>
      </c>
      <c r="G82" s="54" t="inlineStr">
        <is>
          <t>融合宽带订单列表</t>
        </is>
      </c>
      <c r="H82" s="55" t="inlineStr">
        <is>
          <t>点击进入页面获取列表</t>
        </is>
      </c>
      <c r="I82" s="54" t="inlineStr">
        <is>
          <t>E</t>
        </is>
      </c>
      <c r="J82" s="55" t="inlineStr">
        <is>
          <t>订单列表请求</t>
        </is>
      </c>
      <c r="K82" s="55" t="inlineStr">
        <is>
          <t>用户标识、分页参数、会话ID</t>
        </is>
      </c>
      <c r="L82" s="54" t="inlineStr">
        <is>
          <t>新增</t>
        </is>
      </c>
      <c r="M82" s="56">
        <f>IF(L82="新增",1,IF(L82="复用",1/3,0))</f>
        <v/>
      </c>
    </row>
    <row r="83" ht="54" customHeight="1">
      <c r="A83" s="57" t="n"/>
      <c r="B83" s="57" t="n"/>
      <c r="C83" s="57" t="n"/>
      <c r="D83" s="57" t="n"/>
      <c r="E83" s="57" t="n"/>
      <c r="F83" s="57" t="n"/>
      <c r="G83" s="57" t="n"/>
      <c r="H83" s="55" t="inlineStr">
        <is>
          <t>读取融合宽带订单列表数据</t>
        </is>
      </c>
      <c r="I83" s="54" t="inlineStr">
        <is>
          <t>R</t>
        </is>
      </c>
      <c r="J83" s="55" t="inlineStr">
        <is>
          <t>融合宽带订单列表</t>
        </is>
      </c>
      <c r="K83" s="55" t="inlineStr">
        <is>
          <t>订单编号、客户号码、业务名称、业务编码、分销信息、订单状态、下单时间</t>
        </is>
      </c>
      <c r="L83" s="54" t="inlineStr">
        <is>
          <t>新增</t>
        </is>
      </c>
      <c r="M83" s="56">
        <f>IF(L83="新增",1,IF(L83="复用",1/3,0))</f>
        <v/>
      </c>
    </row>
    <row r="84" ht="54" customHeight="1">
      <c r="A84" s="57" t="n"/>
      <c r="B84" s="57" t="n"/>
      <c r="C84" s="57" t="n"/>
      <c r="D84" s="58" t="n"/>
      <c r="E84" s="58" t="n"/>
      <c r="F84" s="58" t="n"/>
      <c r="G84" s="58" t="n"/>
      <c r="H84" s="55" t="inlineStr">
        <is>
          <t>融合宽带订单列表展示</t>
        </is>
      </c>
      <c r="I84" s="54" t="inlineStr">
        <is>
          <t>X</t>
        </is>
      </c>
      <c r="J84" s="55" t="inlineStr">
        <is>
          <t>列表反映</t>
        </is>
      </c>
      <c r="K84" s="55" t="inlineStr">
        <is>
          <t>产品数据、字段排序、列表组合</t>
        </is>
      </c>
      <c r="L84" s="54" t="inlineStr">
        <is>
          <t>新增</t>
        </is>
      </c>
      <c r="M84" s="56">
        <f>IF(L84="新增",1,IF(L84="复用",1/3,0))</f>
        <v/>
      </c>
    </row>
    <row r="85" ht="54" customHeight="1">
      <c r="A85" s="57" t="n"/>
      <c r="B85" s="57" t="n"/>
      <c r="C85" s="57" t="n"/>
      <c r="D85" s="54" t="inlineStr">
        <is>
          <t>融合宽带订单导出</t>
        </is>
      </c>
      <c r="E85" s="54" t="inlineStr">
        <is>
          <t>发起者：操作员
接收者：地市后台</t>
        </is>
      </c>
      <c r="F85" s="54" t="inlineStr">
        <is>
          <t>用户触发</t>
        </is>
      </c>
      <c r="G85" s="54" t="inlineStr">
        <is>
          <t>融合宽带订单列表导出</t>
        </is>
      </c>
      <c r="H85" s="55" t="inlineStr">
        <is>
          <t>点击导出按钮提交导出请求（附带筛选条件）</t>
        </is>
      </c>
      <c r="I85" s="54" t="inlineStr">
        <is>
          <t>E</t>
        </is>
      </c>
      <c r="J85" s="55" t="inlineStr">
        <is>
          <t>导出请求</t>
        </is>
      </c>
      <c r="K85" s="55" t="inlineStr">
        <is>
          <t>用户ID、筛选条件、导出格式</t>
        </is>
      </c>
      <c r="L85" s="54" t="inlineStr">
        <is>
          <t>新增</t>
        </is>
      </c>
      <c r="M85" s="56">
        <f>IF(L85="新增",1,IF(L85="复用",1/3,0))</f>
        <v/>
      </c>
    </row>
    <row r="86" ht="54" customHeight="1">
      <c r="A86" s="57" t="n"/>
      <c r="B86" s="57" t="n"/>
      <c r="C86" s="57" t="n"/>
      <c r="D86" s="57" t="n"/>
      <c r="E86" s="57" t="n"/>
      <c r="F86" s="57" t="n"/>
      <c r="G86" s="57" t="n"/>
      <c r="H86" s="55" t="inlineStr">
        <is>
          <t>根据筛选条件从数据库读取融合宽带订单数据</t>
        </is>
      </c>
      <c r="I86" s="54" t="inlineStr">
        <is>
          <t>R</t>
        </is>
      </c>
      <c r="J86" s="55" t="inlineStr">
        <is>
          <t>融合宽带订单表</t>
        </is>
      </c>
      <c r="K86" s="55" t="inlineStr">
        <is>
          <t>序号、订单编号、客户号码、业务名称、业务编码、分销信息、订单状态、下单时间</t>
        </is>
      </c>
      <c r="L86" s="54" t="inlineStr">
        <is>
          <t>新增</t>
        </is>
      </c>
      <c r="M86" s="56">
        <f>IF(L86="新增",1,IF(L86="复用",1/3,0))</f>
        <v/>
      </c>
    </row>
    <row r="87" ht="54" customHeight="1">
      <c r="A87" s="57" t="n"/>
      <c r="B87" s="57" t="n"/>
      <c r="C87" s="57" t="n"/>
      <c r="D87" s="58" t="n"/>
      <c r="E87" s="58" t="n"/>
      <c r="F87" s="58" t="n"/>
      <c r="G87" s="58" t="n"/>
      <c r="H87" s="55" t="inlineStr">
        <is>
          <t>生成并输出导出文件供用户下载</t>
        </is>
      </c>
      <c r="I87" s="54" t="inlineStr">
        <is>
          <t>X</t>
        </is>
      </c>
      <c r="J87" s="55" t="inlineStr">
        <is>
          <t>导出文件</t>
        </is>
      </c>
      <c r="K87" s="55" t="inlineStr">
        <is>
          <t>文件名、文件格式、下载链接</t>
        </is>
      </c>
      <c r="L87" s="54" t="inlineStr">
        <is>
          <t>新增</t>
        </is>
      </c>
      <c r="M87" s="56">
        <f>IF(L87="新增",1,IF(L87="复用",1/3,0))</f>
        <v/>
      </c>
    </row>
    <row r="88" ht="54" customHeight="1">
      <c r="A88" s="57" t="n"/>
      <c r="B88" s="57" t="n"/>
      <c r="C88" s="57" t="n"/>
      <c r="D88" s="54" t="inlineStr">
        <is>
          <t>融合宽带订单查询</t>
        </is>
      </c>
      <c r="E88" s="54" t="inlineStr">
        <is>
          <t>发起者：操作员
接收者：地市后台</t>
        </is>
      </c>
      <c r="F88" s="54" t="inlineStr">
        <is>
          <t>用户触发</t>
        </is>
      </c>
      <c r="G88" s="54" t="inlineStr">
        <is>
          <t>融合宽带订单查询</t>
        </is>
      </c>
      <c r="H88" s="55" t="inlineStr">
        <is>
          <t>点击查询按钮提交查询条件</t>
        </is>
      </c>
      <c r="I88" s="54" t="inlineStr">
        <is>
          <t>E</t>
        </is>
      </c>
      <c r="J88" s="55" t="inlineStr">
        <is>
          <t>查询条件请求</t>
        </is>
      </c>
      <c r="K88" s="55" t="inlineStr">
        <is>
          <t>订单编号、客户号码、业务名称、业务编码、渠道名称、分销员号码、下单时间、订单状态</t>
        </is>
      </c>
      <c r="L88" s="54" t="inlineStr">
        <is>
          <t>新增</t>
        </is>
      </c>
      <c r="M88" s="56">
        <f>IF(L88="新增",1,IF(L88="复用",1/3,0))</f>
        <v/>
      </c>
    </row>
    <row r="89" ht="54" customHeight="1">
      <c r="A89" s="57" t="n"/>
      <c r="B89" s="57" t="n"/>
      <c r="C89" s="57" t="n"/>
      <c r="D89" s="57" t="n"/>
      <c r="E89" s="57" t="n"/>
      <c r="F89" s="57" t="n"/>
      <c r="G89" s="57" t="n"/>
      <c r="H89" s="55" t="inlineStr">
        <is>
          <t>读取融合宽带订单数据</t>
        </is>
      </c>
      <c r="I89" s="54" t="inlineStr">
        <is>
          <t>R</t>
        </is>
      </c>
      <c r="J89" s="55" t="inlineStr">
        <is>
          <t>融合宽带订单数据</t>
        </is>
      </c>
      <c r="K89" s="55" t="inlineStr">
        <is>
          <t>订单编号、客户号码、业务名称、业务编码、渠道名称、分销员号码、下单时间、订单状态</t>
        </is>
      </c>
      <c r="L89" s="54" t="inlineStr">
        <is>
          <t>新增</t>
        </is>
      </c>
      <c r="M89" s="56">
        <f>IF(L89="新增",1,IF(L89="复用",1/3,0))</f>
        <v/>
      </c>
    </row>
    <row r="90" ht="54" customHeight="1">
      <c r="A90" s="57" t="n"/>
      <c r="B90" s="57" t="n"/>
      <c r="C90" s="57" t="n"/>
      <c r="D90" s="58" t="n"/>
      <c r="E90" s="58" t="n"/>
      <c r="F90" s="58" t="n"/>
      <c r="G90" s="58" t="n"/>
      <c r="H90" s="55" t="inlineStr">
        <is>
          <t>返回融合宽带订单列表展示</t>
        </is>
      </c>
      <c r="I90" s="54" t="inlineStr">
        <is>
          <t>X</t>
        </is>
      </c>
      <c r="J90" s="55" t="inlineStr">
        <is>
          <t>列表响应</t>
        </is>
      </c>
      <c r="K90" s="55" t="inlineStr">
        <is>
          <t>订单编号、客户号码、业务名称、业务编码、渠道名称、分销员号码、下单时间、订单状态</t>
        </is>
      </c>
      <c r="L90" s="54" t="inlineStr">
        <is>
          <t>新增</t>
        </is>
      </c>
      <c r="M90" s="56">
        <f>IF(L90="新增",1,IF(L90="复用",1/3,0))</f>
        <v/>
      </c>
    </row>
    <row r="91" ht="54" customHeight="1">
      <c r="A91" s="57" t="n"/>
      <c r="B91" s="57" t="n"/>
      <c r="C91" s="57" t="n"/>
      <c r="D91" s="54" t="inlineStr">
        <is>
          <t>融合宽带订单详情查看</t>
        </is>
      </c>
      <c r="E91" s="54" t="inlineStr">
        <is>
          <t>发起者：操作员
接收者：地市后台</t>
        </is>
      </c>
      <c r="F91" s="54" t="inlineStr">
        <is>
          <t>用户触发</t>
        </is>
      </c>
      <c r="G91" s="54" t="inlineStr">
        <is>
          <t>融合宽带订单详情</t>
        </is>
      </c>
      <c r="H91" s="55" t="inlineStr">
        <is>
          <t>点击详情标签进入订单详情页面</t>
        </is>
      </c>
      <c r="I91" s="54" t="inlineStr">
        <is>
          <t>E</t>
        </is>
      </c>
      <c r="J91" s="55" t="inlineStr">
        <is>
          <t>订单详情请求</t>
        </is>
      </c>
      <c r="K91" s="55" t="inlineStr">
        <is>
          <t>订单ID、用户标识、页面标识</t>
        </is>
      </c>
      <c r="L91" s="54" t="inlineStr">
        <is>
          <t>新增</t>
        </is>
      </c>
      <c r="M91" s="56">
        <f>IF(L91="新增",1,IF(L91="复用",1/3,0))</f>
        <v/>
      </c>
    </row>
    <row r="92" ht="144" customHeight="1">
      <c r="A92" s="57" t="n"/>
      <c r="B92" s="57" t="n"/>
      <c r="C92" s="57" t="n"/>
      <c r="D92" s="57" t="n"/>
      <c r="E92" s="57" t="n"/>
      <c r="F92" s="57" t="n"/>
      <c r="G92" s="57" t="n"/>
      <c r="H92" s="55" t="inlineStr">
        <is>
          <t>读取订单详细信息</t>
        </is>
      </c>
      <c r="I92" s="54" t="inlineStr">
        <is>
          <t>R</t>
        </is>
      </c>
      <c r="J92" s="55" t="inlineStr">
        <is>
          <t>订单详细信息</t>
        </is>
      </c>
      <c r="K92" s="55" t="inlineStr">
        <is>
          <t>订单编号、客户号码、业务名称、业务编码、营销案名称、营销案编码、下单时间、受理时间、订单状态、办理结果、竣工时间、取消时间、宽带账号、电视账号、安装地址、期望安装时间、联系人号码、联系人姓名、所属区县、所属一级渠道、所属泛渠道、分销员</t>
        </is>
      </c>
      <c r="L92" s="54" t="inlineStr">
        <is>
          <t>新增</t>
        </is>
      </c>
      <c r="M92" s="56">
        <f>IF(L92="新增",1,IF(L92="复用",1/3,0))</f>
        <v/>
      </c>
    </row>
    <row r="93" ht="54" customHeight="1">
      <c r="A93" s="57" t="n"/>
      <c r="B93" s="57" t="n"/>
      <c r="C93" s="57" t="n"/>
      <c r="D93" s="58" t="n"/>
      <c r="E93" s="58" t="n"/>
      <c r="F93" s="58" t="n"/>
      <c r="G93" s="58" t="n"/>
      <c r="H93" s="55" t="inlineStr">
        <is>
          <t>展示订单详情页面</t>
        </is>
      </c>
      <c r="I93" s="54" t="inlineStr">
        <is>
          <t>X</t>
        </is>
      </c>
      <c r="J93" s="55" t="inlineStr">
        <is>
          <t>订单详情页面响应</t>
        </is>
      </c>
      <c r="K93" s="55" t="inlineStr">
        <is>
          <t>订单详细信息、模块结构（基础信息/装维信息/分销渠道）、显示状态</t>
        </is>
      </c>
      <c r="L93" s="54" t="inlineStr">
        <is>
          <t>新增</t>
        </is>
      </c>
      <c r="M93" s="56">
        <f>IF(L93="新增",1,IF(L93="复用",1/3,0))</f>
        <v/>
      </c>
    </row>
    <row r="94" ht="54" customHeight="1">
      <c r="A94" s="57" t="n"/>
      <c r="B94" s="57" t="n"/>
      <c r="C94" s="57" t="n"/>
      <c r="D94" s="54" t="inlineStr">
        <is>
          <t>小福包订单列表</t>
        </is>
      </c>
      <c r="E94" s="54" t="inlineStr">
        <is>
          <t>发起者：操作员
接收者：地市后台</t>
        </is>
      </c>
      <c r="F94" s="54" t="inlineStr">
        <is>
          <t>用户触发</t>
        </is>
      </c>
      <c r="G94" s="54" t="inlineStr">
        <is>
          <t>小福包订单列表</t>
        </is>
      </c>
      <c r="H94" s="55" t="inlineStr">
        <is>
          <t>点击进入小福包订单列表页面</t>
        </is>
      </c>
      <c r="I94" s="54" t="inlineStr">
        <is>
          <t>E</t>
        </is>
      </c>
      <c r="J94" s="55" t="inlineStr">
        <is>
          <t>列表查询请求</t>
        </is>
      </c>
      <c r="K94" s="55" t="inlineStr">
        <is>
          <t>用户标识、分页参数、查询条件</t>
        </is>
      </c>
      <c r="L94" s="54" t="inlineStr">
        <is>
          <t>新增</t>
        </is>
      </c>
      <c r="M94" s="56">
        <f>IF(L94="新增",1,IF(L94="复用",1/3,0))</f>
        <v/>
      </c>
    </row>
    <row r="95" ht="54" customHeight="1">
      <c r="A95" s="57" t="n"/>
      <c r="B95" s="57" t="n"/>
      <c r="C95" s="57" t="n"/>
      <c r="D95" s="57" t="n"/>
      <c r="E95" s="57" t="n"/>
      <c r="F95" s="57" t="n"/>
      <c r="G95" s="57" t="n"/>
      <c r="H95" s="55" t="inlineStr">
        <is>
          <t>读取小福包订单列表数据</t>
        </is>
      </c>
      <c r="I95" s="54" t="inlineStr">
        <is>
          <t>R</t>
        </is>
      </c>
      <c r="J95" s="55" t="inlineStr">
        <is>
          <t>小福包订单表</t>
        </is>
      </c>
      <c r="K95" s="55" t="inlineStr">
        <is>
          <t>订单统一编号、客户号码、业务名称、业务编码、分销信息、下单时间、订单状态</t>
        </is>
      </c>
      <c r="L95" s="54" t="inlineStr">
        <is>
          <t>新增</t>
        </is>
      </c>
      <c r="M95" s="56">
        <f>IF(L95="新增",1,IF(L95="复用",1/3,0))</f>
        <v/>
      </c>
    </row>
    <row r="96" ht="54" customHeight="1">
      <c r="A96" s="57" t="n"/>
      <c r="B96" s="57" t="n"/>
      <c r="C96" s="57" t="n"/>
      <c r="D96" s="58" t="n"/>
      <c r="E96" s="58" t="n"/>
      <c r="F96" s="58" t="n"/>
      <c r="G96" s="58" t="n"/>
      <c r="H96" s="55" t="inlineStr">
        <is>
          <t>返回展示小福包订单列表</t>
        </is>
      </c>
      <c r="I96" s="54" t="inlineStr">
        <is>
          <t>X</t>
        </is>
      </c>
      <c r="J96" s="55" t="inlineStr">
        <is>
          <t>订单列表响应</t>
        </is>
      </c>
      <c r="K96" s="55" t="inlineStr">
        <is>
          <t>序号、订单统一编号、客户号码、业务名称、业务编码、分销信息、下单时间、订单状态</t>
        </is>
      </c>
      <c r="L96" s="54" t="inlineStr">
        <is>
          <t>新增</t>
        </is>
      </c>
      <c r="M96" s="56">
        <f>IF(L96="新增",1,IF(L96="复用",1/3,0))</f>
        <v/>
      </c>
    </row>
    <row r="97" ht="54" customHeight="1">
      <c r="A97" s="57" t="n"/>
      <c r="B97" s="57" t="n"/>
      <c r="C97" s="57" t="n"/>
      <c r="D97" s="54" t="inlineStr">
        <is>
          <t>小福包订单导出</t>
        </is>
      </c>
      <c r="E97" s="54" t="inlineStr">
        <is>
          <t>发起者：操作员
接收者：地市后台</t>
        </is>
      </c>
      <c r="F97" s="54" t="inlineStr">
        <is>
          <t>用户触发</t>
        </is>
      </c>
      <c r="G97" s="54" t="inlineStr">
        <is>
          <t>小福包订单导出</t>
        </is>
      </c>
      <c r="H97" s="55" t="inlineStr">
        <is>
          <t>点击导出按钮提交筛选条件和导出请求</t>
        </is>
      </c>
      <c r="I97" s="54" t="inlineStr">
        <is>
          <t>E</t>
        </is>
      </c>
      <c r="J97" s="55" t="inlineStr">
        <is>
          <t>导出请求参数</t>
        </is>
      </c>
      <c r="K97" s="55" t="inlineStr">
        <is>
          <t>导出格式、筛选条件、用户ID</t>
        </is>
      </c>
      <c r="L97" s="54" t="inlineStr">
        <is>
          <t>新增</t>
        </is>
      </c>
      <c r="M97" s="56">
        <f>IF(L97="新增",1,IF(L97="复用",1/3,0))</f>
        <v/>
      </c>
    </row>
    <row r="98" ht="54" customHeight="1">
      <c r="A98" s="57" t="n"/>
      <c r="B98" s="57" t="n"/>
      <c r="C98" s="57" t="n"/>
      <c r="D98" s="57" t="n"/>
      <c r="E98" s="57" t="n"/>
      <c r="F98" s="57" t="n"/>
      <c r="G98" s="57" t="n"/>
      <c r="H98" s="55" t="inlineStr">
        <is>
          <t>根据筛选条件读取小福包订单列表数据</t>
        </is>
      </c>
      <c r="I98" s="54" t="inlineStr">
        <is>
          <t>R</t>
        </is>
      </c>
      <c r="J98" s="55" t="inlineStr">
        <is>
          <t>小福包订单表</t>
        </is>
      </c>
      <c r="K98" s="55" t="inlineStr">
        <is>
          <t>序号、订单统一编号、客户号码、业务名称、业务编码、分销信息、下单时间、订单状态</t>
        </is>
      </c>
      <c r="L98" s="54" t="inlineStr">
        <is>
          <t>新增</t>
        </is>
      </c>
      <c r="M98" s="56">
        <f>IF(L98="新增",1,IF(L98="复用",1/3,0))</f>
        <v/>
      </c>
    </row>
    <row r="99" ht="54" customHeight="1">
      <c r="A99" s="57" t="n"/>
      <c r="B99" s="57" t="n"/>
      <c r="C99" s="57" t="n"/>
      <c r="D99" s="58" t="n"/>
      <c r="E99" s="58" t="n"/>
      <c r="F99" s="58" t="n"/>
      <c r="G99" s="58" t="n"/>
      <c r="H99" s="55" t="inlineStr">
        <is>
          <t>生成并返回导出文件供用户下载</t>
        </is>
      </c>
      <c r="I99" s="54" t="inlineStr">
        <is>
          <t>X</t>
        </is>
      </c>
      <c r="J99" s="55" t="inlineStr">
        <is>
          <t>导出文件响应</t>
        </is>
      </c>
      <c r="K99" s="55" t="inlineStr">
        <is>
          <t>文件名称、文件内容、下载链接</t>
        </is>
      </c>
      <c r="L99" s="54" t="inlineStr">
        <is>
          <t>新增</t>
        </is>
      </c>
      <c r="M99" s="56">
        <f>IF(L99="新增",1,IF(L99="复用",1/3,0))</f>
        <v/>
      </c>
    </row>
    <row r="100" ht="54" customHeight="1">
      <c r="A100" s="57" t="n"/>
      <c r="B100" s="57" t="n"/>
      <c r="C100" s="57" t="n"/>
      <c r="D100" s="54" t="inlineStr">
        <is>
          <t>小福包订单查询</t>
        </is>
      </c>
      <c r="E100" s="54" t="inlineStr">
        <is>
          <t>发起者：操作员
接收者：地市后台</t>
        </is>
      </c>
      <c r="F100" s="54" t="inlineStr">
        <is>
          <t>用户触发</t>
        </is>
      </c>
      <c r="G100" s="54" t="inlineStr">
        <is>
          <t>小福包订单查询</t>
        </is>
      </c>
      <c r="H100" s="55" t="inlineStr">
        <is>
          <t>提交筛选条件查询小福包订单</t>
        </is>
      </c>
      <c r="I100" s="54" t="inlineStr">
        <is>
          <t>E</t>
        </is>
      </c>
      <c r="J100" s="55" t="inlineStr">
        <is>
          <t>订单查询请求</t>
        </is>
      </c>
      <c r="K100" s="55" t="inlineStr">
        <is>
          <t>客户号码、订单编号、下单时间范围</t>
        </is>
      </c>
      <c r="L100" s="54" t="inlineStr">
        <is>
          <t>新增</t>
        </is>
      </c>
      <c r="M100" s="56">
        <f>IF(L100="新增",1,IF(L100="复用",1/3,0))</f>
        <v/>
      </c>
    </row>
    <row r="101" ht="54" customHeight="1">
      <c r="A101" s="57" t="n"/>
      <c r="B101" s="57" t="n"/>
      <c r="C101" s="57" t="n"/>
      <c r="D101" s="57" t="n"/>
      <c r="E101" s="57" t="n"/>
      <c r="F101" s="57" t="n"/>
      <c r="G101" s="57" t="n"/>
      <c r="H101" s="55" t="inlineStr">
        <is>
          <t>读取小福包订单列表数据</t>
        </is>
      </c>
      <c r="I101" s="54" t="inlineStr">
        <is>
          <t>R</t>
        </is>
      </c>
      <c r="J101" s="55" t="inlineStr">
        <is>
          <t>小福包订单表</t>
        </is>
      </c>
      <c r="K101" s="55" t="inlineStr">
        <is>
          <t>订单编号、客户号码、业务名称、业务编码、渠道名称、分销员号码、下单时间、订单状态</t>
        </is>
      </c>
      <c r="L101" s="54" t="inlineStr">
        <is>
          <t>新增</t>
        </is>
      </c>
      <c r="M101" s="56">
        <f>IF(L101="新增",1,IF(L101="复用",1/3,0))</f>
        <v/>
      </c>
    </row>
    <row r="102" ht="54" customHeight="1">
      <c r="A102" s="57" t="n"/>
      <c r="B102" s="57" t="n"/>
      <c r="C102" s="57" t="n"/>
      <c r="D102" s="58" t="n"/>
      <c r="E102" s="58" t="n"/>
      <c r="F102" s="58" t="n"/>
      <c r="G102" s="58" t="n"/>
      <c r="H102" s="55" t="inlineStr">
        <is>
          <t>展示小福包订单列表结果</t>
        </is>
      </c>
      <c r="I102" s="54" t="inlineStr">
        <is>
          <t>X</t>
        </is>
      </c>
      <c r="J102" s="55" t="inlineStr">
        <is>
          <t>订单列表响应</t>
        </is>
      </c>
      <c r="K102" s="55" t="inlineStr">
        <is>
          <t>订单编号、客户号码、业务名称、业务编码、渠道名称、分销员号码、下单时间、订单状态</t>
        </is>
      </c>
      <c r="L102" s="54" t="inlineStr">
        <is>
          <t>新增</t>
        </is>
      </c>
      <c r="M102" s="56">
        <f>IF(L102="新增",1,IF(L102="复用",1/3,0))</f>
        <v/>
      </c>
    </row>
    <row r="103" ht="54" customHeight="1">
      <c r="A103" s="57" t="n"/>
      <c r="B103" s="57" t="n"/>
      <c r="C103" s="57" t="n"/>
      <c r="D103" s="54" t="inlineStr">
        <is>
          <t>小福包订单详情查看</t>
        </is>
      </c>
      <c r="E103" s="54" t="inlineStr">
        <is>
          <t>发起者：操作员
接收者：地市后台</t>
        </is>
      </c>
      <c r="F103" s="54" t="inlineStr">
        <is>
          <t>用户触发</t>
        </is>
      </c>
      <c r="G103" s="54" t="inlineStr">
        <is>
          <t>小福包订单详情查看</t>
        </is>
      </c>
      <c r="H103" s="55" t="inlineStr">
        <is>
          <t>点击详情标签进入订单详情页面</t>
        </is>
      </c>
      <c r="I103" s="54" t="inlineStr">
        <is>
          <t>E</t>
        </is>
      </c>
      <c r="J103" s="55" t="inlineStr">
        <is>
          <t>订单详情请求</t>
        </is>
      </c>
      <c r="K103" s="55" t="inlineStr">
        <is>
          <t>订单编号、用户ID、页面标识</t>
        </is>
      </c>
      <c r="L103" s="54" t="inlineStr">
        <is>
          <t>新增</t>
        </is>
      </c>
      <c r="M103" s="56">
        <f>IF(L103="新增",1,IF(L103="复用",1/3,0))</f>
        <v/>
      </c>
    </row>
    <row r="104" ht="90" customHeight="1">
      <c r="A104" s="57" t="n"/>
      <c r="B104" s="57" t="n"/>
      <c r="C104" s="57" t="n"/>
      <c r="D104" s="57" t="n"/>
      <c r="E104" s="57" t="n"/>
      <c r="F104" s="57" t="n"/>
      <c r="G104" s="57" t="n"/>
      <c r="H104" s="55" t="inlineStr">
        <is>
          <t>读取订单全部详细信息</t>
        </is>
      </c>
      <c r="I104" s="54" t="inlineStr">
        <is>
          <t>R</t>
        </is>
      </c>
      <c r="J104" s="55" t="inlineStr">
        <is>
          <t>小福包订单详情数据</t>
        </is>
      </c>
      <c r="K104" s="55" t="inlineStr">
        <is>
          <t>订单编号、客户号码、业务名称、业务编码、下单时间、受理时间、订单状态、办理结果、竣工时间、取消时间、宽带账号、子业务列表、装维信息、分销渠道信息</t>
        </is>
      </c>
      <c r="L104" s="54" t="inlineStr">
        <is>
          <t>新增</t>
        </is>
      </c>
      <c r="M104" s="56">
        <f>IF(L104="新增",1,IF(L104="复用",1/3,0))</f>
        <v/>
      </c>
    </row>
    <row r="105" ht="54" customHeight="1">
      <c r="A105" s="57" t="n"/>
      <c r="B105" s="57" t="n"/>
      <c r="C105" s="57" t="n"/>
      <c r="D105" s="58" t="n"/>
      <c r="E105" s="58" t="n"/>
      <c r="F105" s="58" t="n"/>
      <c r="G105" s="58" t="n"/>
      <c r="H105" s="55" t="inlineStr">
        <is>
          <t>展示订单详情页面包含所有模块信息</t>
        </is>
      </c>
      <c r="I105" s="54" t="inlineStr">
        <is>
          <t>X</t>
        </is>
      </c>
      <c r="J105" s="55" t="inlineStr">
        <is>
          <t>订单详情页面响应</t>
        </is>
      </c>
      <c r="K105" s="55" t="inlineStr">
        <is>
          <t>基础信息、子业务信息列表、装维信息、分销渠道信息</t>
        </is>
      </c>
      <c r="L105" s="54" t="inlineStr">
        <is>
          <t>新增</t>
        </is>
      </c>
      <c r="M105" s="56">
        <f>IF(L105="新增",1,IF(L105="复用",1/3,0))</f>
        <v/>
      </c>
    </row>
    <row r="106" ht="54" customHeight="1">
      <c r="A106" s="57" t="n"/>
      <c r="B106" s="57" t="n"/>
      <c r="C106" s="57" t="n"/>
      <c r="D106" s="54" t="inlineStr">
        <is>
          <t>营销案订单列表</t>
        </is>
      </c>
      <c r="E106" s="54" t="inlineStr">
        <is>
          <t>发起者：操作员
接收者：地市后台</t>
        </is>
      </c>
      <c r="F106" s="54" t="inlineStr">
        <is>
          <t>用户触发</t>
        </is>
      </c>
      <c r="G106" s="54" t="inlineStr">
        <is>
          <t>营销案订单列表</t>
        </is>
      </c>
      <c r="H106" s="55" t="inlineStr">
        <is>
          <t>点击进入页面获取列表</t>
        </is>
      </c>
      <c r="I106" s="54" t="inlineStr">
        <is>
          <t>E</t>
        </is>
      </c>
      <c r="J106" s="55" t="inlineStr">
        <is>
          <t>订单列表请求</t>
        </is>
      </c>
      <c r="K106" s="55" t="inlineStr">
        <is>
          <t>用户标识、分页参数、筛选条件</t>
        </is>
      </c>
      <c r="L106" s="54" t="inlineStr">
        <is>
          <t>新增</t>
        </is>
      </c>
      <c r="M106" s="56">
        <f>IF(L106="新增",1,IF(L106="复用",1/3,0))</f>
        <v/>
      </c>
    </row>
    <row r="107" ht="54" customHeight="1">
      <c r="A107" s="57" t="n"/>
      <c r="B107" s="57" t="n"/>
      <c r="C107" s="57" t="n"/>
      <c r="D107" s="57" t="n"/>
      <c r="E107" s="57" t="n"/>
      <c r="F107" s="57" t="n"/>
      <c r="G107" s="57" t="n"/>
      <c r="H107" s="55" t="inlineStr">
        <is>
          <t>读取营销案订单列表数据</t>
        </is>
      </c>
      <c r="I107" s="54" t="inlineStr">
        <is>
          <t>R</t>
        </is>
      </c>
      <c r="J107" s="55" t="inlineStr">
        <is>
          <t>营销案订单列表</t>
        </is>
      </c>
      <c r="K107" s="55" t="inlineStr">
        <is>
          <t>订单统一编号、客户号码、业务名称、业务编码、分销信息、下单时间、订单状态</t>
        </is>
      </c>
      <c r="L107" s="54" t="inlineStr">
        <is>
          <t>新增</t>
        </is>
      </c>
      <c r="M107" s="56">
        <f>IF(L107="新增",1,IF(L107="复用",1/3,0))</f>
        <v/>
      </c>
    </row>
    <row r="108" ht="54" customHeight="1">
      <c r="A108" s="57" t="n"/>
      <c r="B108" s="57" t="n"/>
      <c r="C108" s="57" t="n"/>
      <c r="D108" s="58" t="n"/>
      <c r="E108" s="58" t="n"/>
      <c r="F108" s="58" t="n"/>
      <c r="G108" s="58" t="n"/>
      <c r="H108" s="55" t="inlineStr">
        <is>
          <t>营销案订单列表展示</t>
        </is>
      </c>
      <c r="I108" s="54" t="inlineStr">
        <is>
          <t>X</t>
        </is>
      </c>
      <c r="J108" s="55" t="inlineStr">
        <is>
          <t>列表反映</t>
        </is>
      </c>
      <c r="K108" s="55" t="inlineStr">
        <is>
          <t>订单数据、字段排序、列表组合</t>
        </is>
      </c>
      <c r="L108" s="54" t="inlineStr">
        <is>
          <t>新增</t>
        </is>
      </c>
      <c r="M108" s="56">
        <f>IF(L108="新增",1,IF(L108="复用",1/3,0))</f>
        <v/>
      </c>
    </row>
    <row r="109" ht="54" customHeight="1">
      <c r="A109" s="57" t="n"/>
      <c r="B109" s="57" t="n"/>
      <c r="C109" s="57" t="n"/>
      <c r="D109" s="54" t="inlineStr">
        <is>
          <t>营销案订单查询</t>
        </is>
      </c>
      <c r="E109" s="54" t="inlineStr">
        <is>
          <t>发起者：操作员
接收者：地市后台</t>
        </is>
      </c>
      <c r="F109" s="54" t="inlineStr">
        <is>
          <t>用户触发</t>
        </is>
      </c>
      <c r="G109" s="54" t="inlineStr">
        <is>
          <t>营销案订单查询</t>
        </is>
      </c>
      <c r="H109" s="55" t="inlineStr">
        <is>
          <t>输入查询条件提交查询请求</t>
        </is>
      </c>
      <c r="I109" s="54" t="inlineStr">
        <is>
          <t>E</t>
        </is>
      </c>
      <c r="J109" s="55" t="inlineStr">
        <is>
          <t>营销案订单查询条件</t>
        </is>
      </c>
      <c r="K109" s="55" t="inlineStr">
        <is>
          <t>订单编号、客户号码、业务名称、业务编码</t>
        </is>
      </c>
      <c r="L109" s="54" t="inlineStr">
        <is>
          <t>新增</t>
        </is>
      </c>
      <c r="M109" s="56">
        <f>IF(L109="新增",1,IF(L109="复用",1/3,0))</f>
        <v/>
      </c>
    </row>
    <row r="110" ht="54" customHeight="1">
      <c r="A110" s="57" t="n"/>
      <c r="B110" s="57" t="n"/>
      <c r="C110" s="57" t="n"/>
      <c r="D110" s="57" t="n"/>
      <c r="E110" s="57" t="n"/>
      <c r="F110" s="57" t="n"/>
      <c r="G110" s="57" t="n"/>
      <c r="H110" s="55" t="inlineStr">
        <is>
          <t>读取营销案订单数据</t>
        </is>
      </c>
      <c r="I110" s="54" t="inlineStr">
        <is>
          <t>R</t>
        </is>
      </c>
      <c r="J110" s="55" t="inlineStr">
        <is>
          <t>营销案订单表</t>
        </is>
      </c>
      <c r="K110" s="55" t="inlineStr">
        <is>
          <t>订单编号、客户号码、业务名称、业务编码、渠道名称、分销员号码、下单时间、订单状态</t>
        </is>
      </c>
      <c r="L110" s="54" t="inlineStr">
        <is>
          <t>新增</t>
        </is>
      </c>
      <c r="M110" s="56">
        <f>IF(L110="新增",1,IF(L110="复用",1/3,0))</f>
        <v/>
      </c>
    </row>
    <row r="111" ht="54" customHeight="1">
      <c r="A111" s="57" t="n"/>
      <c r="B111" s="57" t="n"/>
      <c r="C111" s="57" t="n"/>
      <c r="D111" s="58" t="n"/>
      <c r="E111" s="58" t="n"/>
      <c r="F111" s="58" t="n"/>
      <c r="G111" s="58" t="n"/>
      <c r="H111" s="55" t="inlineStr">
        <is>
          <t>展示营销案订单列表</t>
        </is>
      </c>
      <c r="I111" s="54" t="inlineStr">
        <is>
          <t>X</t>
        </is>
      </c>
      <c r="J111" s="55" t="inlineStr">
        <is>
          <t>营销案订单列表展示</t>
        </is>
      </c>
      <c r="K111" s="55" t="inlineStr">
        <is>
          <t>订单编号、客户号码、业务名称、业务编码、订单状态</t>
        </is>
      </c>
      <c r="L111" s="54" t="inlineStr">
        <is>
          <t>新增</t>
        </is>
      </c>
      <c r="M111" s="56">
        <f>IF(L111="新增",1,IF(L111="复用",1/3,0))</f>
        <v/>
      </c>
    </row>
    <row r="112" ht="54" customHeight="1">
      <c r="A112" s="57" t="n"/>
      <c r="B112" s="57" t="n"/>
      <c r="C112" s="57" t="n"/>
      <c r="D112" s="54" t="inlineStr">
        <is>
          <t>营销案订单导出</t>
        </is>
      </c>
      <c r="E112" s="54" t="inlineStr">
        <is>
          <t>发起者：操作员
接收者：地市后台</t>
        </is>
      </c>
      <c r="F112" s="54" t="inlineStr">
        <is>
          <t>用户触发</t>
        </is>
      </c>
      <c r="G112" s="54" t="inlineStr">
        <is>
          <t>营销案订单导出</t>
        </is>
      </c>
      <c r="H112" s="55" t="inlineStr">
        <is>
          <t>点击导出按钮提交导出请求（包含筛选条件）</t>
        </is>
      </c>
      <c r="I112" s="54" t="inlineStr">
        <is>
          <t>E</t>
        </is>
      </c>
      <c r="J112" s="55" t="inlineStr">
        <is>
          <t>导出请求参数</t>
        </is>
      </c>
      <c r="K112" s="55" t="inlineStr">
        <is>
          <t>筛选条件、开始时间、结束时间、订单状态</t>
        </is>
      </c>
      <c r="L112" s="54" t="inlineStr">
        <is>
          <t>新增</t>
        </is>
      </c>
      <c r="M112" s="56">
        <f>IF(L112="新增",1,IF(L112="复用",1/3,0))</f>
        <v/>
      </c>
    </row>
    <row r="113" ht="54" customHeight="1">
      <c r="A113" s="57" t="n"/>
      <c r="B113" s="57" t="n"/>
      <c r="C113" s="57" t="n"/>
      <c r="D113" s="57" t="n"/>
      <c r="E113" s="57" t="n"/>
      <c r="F113" s="57" t="n"/>
      <c r="G113" s="57" t="n"/>
      <c r="H113" s="55" t="inlineStr">
        <is>
          <t>根据筛选条件读取营销案订单列表数据</t>
        </is>
      </c>
      <c r="I113" s="54" t="inlineStr">
        <is>
          <t>R</t>
        </is>
      </c>
      <c r="J113" s="55" t="inlineStr">
        <is>
          <t>营销案订单数据</t>
        </is>
      </c>
      <c r="K113" s="55" t="inlineStr">
        <is>
          <t>订单统一编号、客户号码、业务名称、业务编码、分销信息、下单时间、订单状态</t>
        </is>
      </c>
      <c r="L113" s="54" t="inlineStr">
        <is>
          <t>新增</t>
        </is>
      </c>
      <c r="M113" s="56">
        <f>IF(L113="新增",1,IF(L113="复用",1/3,0))</f>
        <v/>
      </c>
    </row>
    <row r="114" ht="54" customHeight="1">
      <c r="A114" s="57" t="n"/>
      <c r="B114" s="58" t="n"/>
      <c r="C114" s="58" t="n"/>
      <c r="D114" s="58" t="n"/>
      <c r="E114" s="58" t="n"/>
      <c r="F114" s="58" t="n"/>
      <c r="G114" s="58" t="n"/>
      <c r="H114" s="55" t="inlineStr">
        <is>
          <t>生成并导出包含订单数据的Excel文件</t>
        </is>
      </c>
      <c r="I114" s="54" t="inlineStr">
        <is>
          <t>X</t>
        </is>
      </c>
      <c r="J114" s="55" t="inlineStr">
        <is>
          <t>导出结果文件</t>
        </is>
      </c>
      <c r="K114" s="55" t="inlineStr">
        <is>
          <t>序号、订单统一编号、客户号码、业务名称、业务编码、分销信息、下单时间、订单状态</t>
        </is>
      </c>
      <c r="L114" s="54" t="inlineStr">
        <is>
          <t>新增</t>
        </is>
      </c>
      <c r="M114" s="56">
        <f>IF(L114="新增",1,IF(L114="复用",1/3,0))</f>
        <v/>
      </c>
    </row>
    <row r="115" ht="54" customHeight="1">
      <c r="A115" s="57" t="n"/>
      <c r="B115" s="54" t="inlineStr">
        <is>
          <t>店铺装修管理</t>
        </is>
      </c>
      <c r="C115" s="54" t="inlineStr">
        <is>
          <t>店铺装修链接选择器</t>
        </is>
      </c>
      <c r="D115" s="54" t="inlineStr">
        <is>
          <t>选择小福包专区链接</t>
        </is>
      </c>
      <c r="E115" s="54" t="inlineStr">
        <is>
          <t>发起者：操作员
接收者：地市后台</t>
        </is>
      </c>
      <c r="F115" s="54" t="inlineStr">
        <is>
          <t>用户触发</t>
        </is>
      </c>
      <c r="G115" s="54" t="inlineStr">
        <is>
          <t>获取小福包专区链接</t>
        </is>
      </c>
      <c r="H115" s="55" t="inlineStr">
        <is>
          <t>发起获取小福包专区链接请求</t>
        </is>
      </c>
      <c r="I115" s="54" t="inlineStr">
        <is>
          <t>E</t>
        </is>
      </c>
      <c r="J115" s="55" t="inlineStr">
        <is>
          <t>获取专区链接请求</t>
        </is>
      </c>
      <c r="K115" s="55" t="inlineStr">
        <is>
          <t>用户标识、专区类型、分页参数</t>
        </is>
      </c>
      <c r="L115" s="54" t="inlineStr">
        <is>
          <t>新增</t>
        </is>
      </c>
      <c r="M115" s="56">
        <f>IF(L115="新增",1,IF(L115="复用",1/3,0))</f>
        <v/>
      </c>
    </row>
    <row r="116" ht="54" customHeight="1">
      <c r="A116" s="57" t="n"/>
      <c r="B116" s="57" t="n"/>
      <c r="C116" s="57" t="n"/>
      <c r="D116" s="57" t="n"/>
      <c r="E116" s="57" t="n"/>
      <c r="F116" s="57" t="n"/>
      <c r="G116" s="57" t="n"/>
      <c r="H116" s="55" t="inlineStr">
        <is>
          <t>读取小福包专区链接数据</t>
        </is>
      </c>
      <c r="I116" s="54" t="inlineStr">
        <is>
          <t>R</t>
        </is>
      </c>
      <c r="J116" s="55" t="inlineStr">
        <is>
          <t>小福包专区链接表</t>
        </is>
      </c>
      <c r="K116" s="55" t="inlineStr">
        <is>
          <t>专区ID、专区名称、专区链接URL、状态、排序</t>
        </is>
      </c>
      <c r="L116" s="54" t="inlineStr">
        <is>
          <t>新增</t>
        </is>
      </c>
      <c r="M116" s="56">
        <f>IF(L116="新增",1,IF(L116="复用",1/3,0))</f>
        <v/>
      </c>
    </row>
    <row r="117" ht="54" customHeight="1">
      <c r="A117" s="57" t="n"/>
      <c r="B117" s="57" t="n"/>
      <c r="C117" s="57" t="n"/>
      <c r="D117" s="57" t="n"/>
      <c r="E117" s="58" t="n"/>
      <c r="F117" s="58" t="n"/>
      <c r="G117" s="58" t="n"/>
      <c r="H117" s="55" t="inlineStr">
        <is>
          <t>返回小福包专区链接列表</t>
        </is>
      </c>
      <c r="I117" s="54" t="inlineStr">
        <is>
          <t>X</t>
        </is>
      </c>
      <c r="J117" s="55" t="inlineStr">
        <is>
          <t>专区链接列表响应</t>
        </is>
      </c>
      <c r="K117" s="55" t="inlineStr">
        <is>
          <t>专区ID、专区名称、链接URL、展示样式</t>
        </is>
      </c>
      <c r="L117" s="54" t="inlineStr">
        <is>
          <t>新增</t>
        </is>
      </c>
      <c r="M117" s="56">
        <f>IF(L117="新增",1,IF(L117="复用",1/3,0))</f>
        <v/>
      </c>
    </row>
    <row r="118" ht="54" customHeight="1">
      <c r="A118" s="57" t="n"/>
      <c r="B118" s="57" t="n"/>
      <c r="C118" s="57" t="n"/>
      <c r="D118" s="57" t="n"/>
      <c r="E118" s="54" t="inlineStr">
        <is>
          <t>发起者：操作员
接收者：地市后台</t>
        </is>
      </c>
      <c r="F118" s="54" t="inlineStr">
        <is>
          <t>用户触发</t>
        </is>
      </c>
      <c r="G118" s="54" t="inlineStr">
        <is>
          <t>选择小福包专区链接</t>
        </is>
      </c>
      <c r="H118" s="55" t="inlineStr">
        <is>
          <t>提交选择的专区链接</t>
        </is>
      </c>
      <c r="I118" s="54" t="inlineStr">
        <is>
          <t>E</t>
        </is>
      </c>
      <c r="J118" s="55" t="inlineStr">
        <is>
          <t>选择专区链接指令</t>
        </is>
      </c>
      <c r="K118" s="55" t="inlineStr">
        <is>
          <t>店铺ID、专区ID、链接URL</t>
        </is>
      </c>
      <c r="L118" s="54" t="inlineStr">
        <is>
          <t>新增</t>
        </is>
      </c>
      <c r="M118" s="56">
        <f>IF(L118="新增",1,IF(L118="复用",1/3,0))</f>
        <v/>
      </c>
    </row>
    <row r="119" ht="54" customHeight="1">
      <c r="A119" s="57" t="n"/>
      <c r="B119" s="58" t="n"/>
      <c r="C119" s="58" t="n"/>
      <c r="D119" s="58" t="n"/>
      <c r="E119" s="58" t="n"/>
      <c r="F119" s="58" t="n"/>
      <c r="G119" s="58" t="n"/>
      <c r="H119" s="55" t="inlineStr">
        <is>
          <t>保存选择专区链接到店铺装修配置</t>
        </is>
      </c>
      <c r="I119" s="54" t="inlineStr">
        <is>
          <t>W</t>
        </is>
      </c>
      <c r="J119" s="55" t="inlineStr">
        <is>
          <t>店铺装修配置表</t>
        </is>
      </c>
      <c r="K119" s="55" t="inlineStr">
        <is>
          <t>店铺ID、专区ID、链接URL、装修版本</t>
        </is>
      </c>
      <c r="L119" s="54" t="inlineStr">
        <is>
          <t>新增</t>
        </is>
      </c>
      <c r="M119" s="56">
        <f>IF(L119="新增",1,IF(L119="复用",1/3,0))</f>
        <v/>
      </c>
    </row>
    <row r="120" ht="54" customHeight="1">
      <c r="A120" s="57" t="n"/>
      <c r="B120" s="54" t="inlineStr">
        <is>
          <t>小福包首页</t>
        </is>
      </c>
      <c r="C120" s="54" t="inlineStr">
        <is>
          <t>小福包首页页面</t>
        </is>
      </c>
      <c r="D120" s="54" t="inlineStr">
        <is>
          <t>用户登录活动</t>
        </is>
      </c>
      <c r="E120" s="54" t="inlineStr">
        <is>
          <t>发起者：用户
接收者：地市后台</t>
        </is>
      </c>
      <c r="F120" s="54" t="inlineStr">
        <is>
          <t>用户触发</t>
        </is>
      </c>
      <c r="G120" s="54" t="inlineStr">
        <is>
          <t>微信授权登录</t>
        </is>
      </c>
      <c r="H120" s="55" t="inlineStr">
        <is>
          <t>点击微信授权登录按钮提交登录请求</t>
        </is>
      </c>
      <c r="I120" s="54" t="inlineStr">
        <is>
          <t>E</t>
        </is>
      </c>
      <c r="J120" s="55" t="inlineStr">
        <is>
          <t>微信登录请求</t>
        </is>
      </c>
      <c r="K120" s="55" t="inlineStr">
        <is>
          <t>授权码、用户标识、时间戳</t>
        </is>
      </c>
      <c r="L120" s="54" t="inlineStr">
        <is>
          <t>新增</t>
        </is>
      </c>
      <c r="M120" s="56">
        <f>IF(L120="新增",1,IF(L120="复用",1/3,0))</f>
        <v/>
      </c>
    </row>
    <row r="121" ht="54" customHeight="1">
      <c r="A121" s="57" t="n"/>
      <c r="B121" s="57" t="n"/>
      <c r="C121" s="57" t="n"/>
      <c r="D121" s="57" t="n"/>
      <c r="E121" s="57" t="n"/>
      <c r="F121" s="57" t="n"/>
      <c r="G121" s="57" t="n"/>
      <c r="H121" s="55" t="inlineStr">
        <is>
          <t>调用微信接口获取用户信息</t>
        </is>
      </c>
      <c r="I121" s="54" t="inlineStr">
        <is>
          <t>X</t>
        </is>
      </c>
      <c r="J121" s="55" t="inlineStr">
        <is>
          <t>微信接口请求</t>
        </is>
      </c>
      <c r="K121" s="55" t="inlineStr">
        <is>
          <t>appid、secret、code、grant_type</t>
        </is>
      </c>
      <c r="L121" s="54" t="inlineStr">
        <is>
          <t>新增</t>
        </is>
      </c>
      <c r="M121" s="56">
        <f>IF(L121="新增",1,IF(L121="复用",1/3,0))</f>
        <v/>
      </c>
    </row>
    <row r="122" ht="54" customHeight="1">
      <c r="A122" s="57" t="n"/>
      <c r="B122" s="57" t="n"/>
      <c r="C122" s="57" t="n"/>
      <c r="D122" s="57" t="n"/>
      <c r="E122" s="57" t="n"/>
      <c r="F122" s="57" t="n"/>
      <c r="G122" s="57" t="n"/>
      <c r="H122" s="55" t="inlineStr">
        <is>
          <t>接收微信返回的用户信息</t>
        </is>
      </c>
      <c r="I122" s="54" t="inlineStr">
        <is>
          <t>E</t>
        </is>
      </c>
      <c r="J122" s="55" t="inlineStr">
        <is>
          <t>微信接口响应</t>
        </is>
      </c>
      <c r="K122" s="55" t="inlineStr">
        <is>
          <t>openid、session_key、unionid、errcode</t>
        </is>
      </c>
      <c r="L122" s="54" t="inlineStr">
        <is>
          <t>新增</t>
        </is>
      </c>
      <c r="M122" s="56">
        <f>IF(L122="新增",1,IF(L122="复用",1/3,0))</f>
        <v/>
      </c>
    </row>
    <row r="123" ht="54" customHeight="1">
      <c r="A123" s="57" t="n"/>
      <c r="B123" s="57" t="n"/>
      <c r="C123" s="57" t="n"/>
      <c r="D123" s="57" t="n"/>
      <c r="E123" s="57" t="n"/>
      <c r="F123" s="57" t="n"/>
      <c r="G123" s="57" t="n"/>
      <c r="H123" s="55" t="inlineStr">
        <is>
          <t>存储用户登录信息到数据库</t>
        </is>
      </c>
      <c r="I123" s="54" t="inlineStr">
        <is>
          <t>W</t>
        </is>
      </c>
      <c r="J123" s="55" t="inlineStr">
        <is>
          <t>用户登录记录</t>
        </is>
      </c>
      <c r="K123" s="55" t="inlineStr">
        <is>
          <t>openid、session_key、手机号、登录时间、登录方式</t>
        </is>
      </c>
      <c r="L123" s="54" t="inlineStr">
        <is>
          <t>新增</t>
        </is>
      </c>
      <c r="M123" s="56">
        <f>IF(L123="新增",1,IF(L123="复用",1/3,0))</f>
        <v/>
      </c>
    </row>
    <row r="124" ht="54" customHeight="1">
      <c r="A124" s="57" t="n"/>
      <c r="B124" s="57" t="n"/>
      <c r="C124" s="57" t="n"/>
      <c r="D124" s="57" t="n"/>
      <c r="E124" s="58" t="n"/>
      <c r="F124" s="58" t="n"/>
      <c r="G124" s="58" t="n"/>
      <c r="H124" s="55" t="inlineStr">
        <is>
          <t>返回登录成功状态</t>
        </is>
      </c>
      <c r="I124" s="54" t="inlineStr">
        <is>
          <t>X</t>
        </is>
      </c>
      <c r="J124" s="55" t="inlineStr">
        <is>
          <t>登录响应</t>
        </is>
      </c>
      <c r="K124" s="55" t="inlineStr">
        <is>
          <t>token、用户ID、用户昵称、头像、登录结果</t>
        </is>
      </c>
      <c r="L124" s="54" t="inlineStr">
        <is>
          <t>新增</t>
        </is>
      </c>
      <c r="M124" s="56">
        <f>IF(L124="新增",1,IF(L124="复用",1/3,0))</f>
        <v/>
      </c>
    </row>
    <row r="125" ht="54" customHeight="1">
      <c r="A125" s="57" t="n"/>
      <c r="B125" s="57" t="n"/>
      <c r="C125" s="57" t="n"/>
      <c r="D125" s="57" t="n"/>
      <c r="E125" s="54" t="inlineStr">
        <is>
          <t>发起者：用户
接收者：地市后台</t>
        </is>
      </c>
      <c r="F125" s="54" t="inlineStr">
        <is>
          <t>用户触发</t>
        </is>
      </c>
      <c r="G125" s="54" t="inlineStr">
        <is>
          <t>手机号一键登录</t>
        </is>
      </c>
      <c r="H125" s="55" t="inlineStr">
        <is>
          <t>点击手机号一键登录按钮提交请求</t>
        </is>
      </c>
      <c r="I125" s="54" t="inlineStr">
        <is>
          <t>E</t>
        </is>
      </c>
      <c r="J125" s="55" t="inlineStr">
        <is>
          <t>一键登录请求</t>
        </is>
      </c>
      <c r="K125" s="55" t="inlineStr">
        <is>
          <t>运营商临时令牌、用户标识、时间戳</t>
        </is>
      </c>
      <c r="L125" s="54" t="inlineStr">
        <is>
          <t>新增</t>
        </is>
      </c>
      <c r="M125" s="56">
        <f>IF(L125="新增",1,IF(L125="复用",1/3,0))</f>
        <v/>
      </c>
    </row>
    <row r="126" ht="54" customHeight="1">
      <c r="A126" s="57" t="n"/>
      <c r="B126" s="57" t="n"/>
      <c r="C126" s="57" t="n"/>
      <c r="D126" s="57" t="n"/>
      <c r="E126" s="57" t="n"/>
      <c r="F126" s="57" t="n"/>
      <c r="G126" s="57" t="n"/>
      <c r="H126" s="55" t="inlineStr">
        <is>
          <t>调用运营商接口获取手机号</t>
        </is>
      </c>
      <c r="I126" s="54" t="inlineStr">
        <is>
          <t>X</t>
        </is>
      </c>
      <c r="J126" s="55" t="inlineStr">
        <is>
          <t>运营商接口请求</t>
        </is>
      </c>
      <c r="K126" s="55" t="inlineStr">
        <is>
          <t>appid、secret、access_token、phone_token</t>
        </is>
      </c>
      <c r="L126" s="54" t="inlineStr">
        <is>
          <t>新增</t>
        </is>
      </c>
      <c r="M126" s="56">
        <f>IF(L126="新增",1,IF(L126="复用",1/3,0))</f>
        <v/>
      </c>
    </row>
    <row r="127" ht="54" customHeight="1">
      <c r="A127" s="57" t="n"/>
      <c r="B127" s="57" t="n"/>
      <c r="C127" s="57" t="n"/>
      <c r="D127" s="57" t="n"/>
      <c r="E127" s="57" t="n"/>
      <c r="F127" s="57" t="n"/>
      <c r="G127" s="57" t="n"/>
      <c r="H127" s="55" t="inlineStr">
        <is>
          <t>接收运营商返回的手机号</t>
        </is>
      </c>
      <c r="I127" s="54" t="inlineStr">
        <is>
          <t>E</t>
        </is>
      </c>
      <c r="J127" s="55" t="inlineStr">
        <is>
          <t>运营商接口响应</t>
        </is>
      </c>
      <c r="K127" s="55" t="inlineStr">
        <is>
          <t>手机号、用户标识、errcode</t>
        </is>
      </c>
      <c r="L127" s="54" t="inlineStr">
        <is>
          <t>新增</t>
        </is>
      </c>
      <c r="M127" s="56">
        <f>IF(L127="新增",1,IF(L127="复用",1/3,0))</f>
        <v/>
      </c>
    </row>
    <row r="128" ht="54" customHeight="1">
      <c r="A128" s="57" t="n"/>
      <c r="B128" s="57" t="n"/>
      <c r="C128" s="57" t="n"/>
      <c r="D128" s="57" t="n"/>
      <c r="E128" s="57" t="n"/>
      <c r="F128" s="57" t="n"/>
      <c r="G128" s="57" t="n"/>
      <c r="H128" s="55" t="inlineStr">
        <is>
          <t>存储用户登录信息（含手机号）到数据库</t>
        </is>
      </c>
      <c r="I128" s="54" t="inlineStr">
        <is>
          <t>W</t>
        </is>
      </c>
      <c r="J128" s="55" t="inlineStr">
        <is>
          <t>用户登录记录</t>
        </is>
      </c>
      <c r="K128" s="55" t="inlineStr">
        <is>
          <t>手机号、openid、登录时间、登录方式</t>
        </is>
      </c>
      <c r="L128" s="54" t="inlineStr">
        <is>
          <t>新增</t>
        </is>
      </c>
      <c r="M128" s="56">
        <f>IF(L128="新增",1,IF(L128="复用",1/3,0))</f>
        <v/>
      </c>
    </row>
    <row r="129" ht="54" customHeight="1">
      <c r="A129" s="57" t="n"/>
      <c r="B129" s="57" t="n"/>
      <c r="C129" s="57" t="n"/>
      <c r="D129" s="58" t="n"/>
      <c r="E129" s="58" t="n"/>
      <c r="F129" s="58" t="n"/>
      <c r="G129" s="58" t="n"/>
      <c r="H129" s="55" t="inlineStr">
        <is>
          <t>返回登录成功状态</t>
        </is>
      </c>
      <c r="I129" s="54" t="inlineStr">
        <is>
          <t>X</t>
        </is>
      </c>
      <c r="J129" s="55" t="inlineStr">
        <is>
          <t>登录响应</t>
        </is>
      </c>
      <c r="K129" s="55" t="inlineStr">
        <is>
          <t>token、用户ID、手机号、登录结果</t>
        </is>
      </c>
      <c r="L129" s="54" t="inlineStr">
        <is>
          <t>新增</t>
        </is>
      </c>
      <c r="M129" s="56">
        <f>IF(L129="新增",1,IF(L129="复用",1/3,0))</f>
        <v/>
      </c>
    </row>
    <row r="130" ht="54" customHeight="1">
      <c r="A130" s="57" t="n"/>
      <c r="B130" s="57" t="n"/>
      <c r="C130" s="57" t="n"/>
      <c r="D130" s="54" t="inlineStr">
        <is>
          <t>小福包首页页面</t>
        </is>
      </c>
      <c r="E130" s="54" t="inlineStr">
        <is>
          <t>发起者：操作员
接收者：地市后台</t>
        </is>
      </c>
      <c r="F130" s="54" t="inlineStr">
        <is>
          <t>用户触发</t>
        </is>
      </c>
      <c r="G130" s="54" t="inlineStr">
        <is>
          <t>小福包首页页面</t>
        </is>
      </c>
      <c r="H130" s="55" t="inlineStr">
        <is>
          <t>用户进入小福包首页页面发起请求</t>
        </is>
      </c>
      <c r="I130" s="54" t="inlineStr">
        <is>
          <t>E</t>
        </is>
      </c>
      <c r="J130" s="55" t="inlineStr">
        <is>
          <t>首页请求数据</t>
        </is>
      </c>
      <c r="K130" s="55" t="inlineStr">
        <is>
          <t>用户标识、页面类型、渠道来源</t>
        </is>
      </c>
      <c r="L130" s="54" t="inlineStr">
        <is>
          <t>新增</t>
        </is>
      </c>
      <c r="M130" s="56">
        <f>IF(L130="新增",1,IF(L130="复用",1/3,0))</f>
        <v/>
      </c>
    </row>
    <row r="131" ht="54" customHeight="1">
      <c r="A131" s="57" t="n"/>
      <c r="B131" s="57" t="n"/>
      <c r="C131" s="57" t="n"/>
      <c r="D131" s="57" t="n"/>
      <c r="E131" s="57" t="n"/>
      <c r="F131" s="57" t="n"/>
      <c r="G131" s="57" t="n"/>
      <c r="H131" s="55" t="inlineStr">
        <is>
          <t>读取首页装修数据</t>
        </is>
      </c>
      <c r="I131" s="54" t="inlineStr">
        <is>
          <t>R</t>
        </is>
      </c>
      <c r="J131" s="55" t="inlineStr">
        <is>
          <t>首页装修数据</t>
        </is>
      </c>
      <c r="K131" s="55" t="inlineStr">
        <is>
          <t>轮播图片列表、图片广告列表、活动跳转链接、页面背景色、基础配置</t>
        </is>
      </c>
      <c r="L131" s="54" t="inlineStr">
        <is>
          <t>新增</t>
        </is>
      </c>
      <c r="M131" s="56">
        <f>IF(L131="新增",1,IF(L131="复用",1/3,0))</f>
        <v/>
      </c>
    </row>
    <row r="132" ht="54" customHeight="1">
      <c r="A132" s="57" t="n"/>
      <c r="B132" s="57" t="n"/>
      <c r="C132" s="57" t="n"/>
      <c r="D132" s="58" t="n"/>
      <c r="E132" s="58" t="n"/>
      <c r="F132" s="58" t="n"/>
      <c r="G132" s="58" t="n"/>
      <c r="H132" s="55" t="inlineStr">
        <is>
          <t>渲染展示小福包首页页面</t>
        </is>
      </c>
      <c r="I132" s="54" t="inlineStr">
        <is>
          <t>X</t>
        </is>
      </c>
      <c r="J132" s="55" t="inlineStr">
        <is>
          <t>首页页面展示数据</t>
        </is>
      </c>
      <c r="K132" s="55" t="inlineStr">
        <is>
          <t>轮播图、图片广告、活动入口、页面布局</t>
        </is>
      </c>
      <c r="L132" s="54" t="inlineStr">
        <is>
          <t>新增</t>
        </is>
      </c>
      <c r="M132" s="56">
        <f>IF(L132="新增",1,IF(L132="复用",1/3,0))</f>
        <v/>
      </c>
    </row>
    <row r="133" ht="54" customHeight="1">
      <c r="A133" s="57" t="n"/>
      <c r="B133" s="57" t="n"/>
      <c r="C133" s="57" t="n"/>
      <c r="D133" s="54" t="inlineStr">
        <is>
          <t>活动链接跳转</t>
        </is>
      </c>
      <c r="E133" s="54" t="inlineStr">
        <is>
          <t>发起者：操作员
接收者：地市后台</t>
        </is>
      </c>
      <c r="F133" s="54" t="inlineStr">
        <is>
          <t>用户触发</t>
        </is>
      </c>
      <c r="G133" s="54" t="inlineStr">
        <is>
          <t>活动链接跳转</t>
        </is>
      </c>
      <c r="H133" s="55" t="inlineStr">
        <is>
          <t>点击轮播图片或广告图片</t>
        </is>
      </c>
      <c r="I133" s="54" t="inlineStr">
        <is>
          <t>E</t>
        </is>
      </c>
      <c r="J133" s="55" t="inlineStr">
        <is>
          <t>点击事件数据</t>
        </is>
      </c>
      <c r="K133" s="55" t="inlineStr">
        <is>
          <t>图片标识、活动链接、用户标识、来源位置</t>
        </is>
      </c>
      <c r="L133" s="54" t="inlineStr">
        <is>
          <t>新增</t>
        </is>
      </c>
      <c r="M133" s="56">
        <f>IF(L133="新增",1,IF(L133="复用",1/3,0))</f>
        <v/>
      </c>
    </row>
    <row r="134" ht="54" customHeight="1">
      <c r="A134" s="57" t="n"/>
      <c r="B134" s="57" t="n"/>
      <c r="C134" s="57" t="n"/>
      <c r="D134" s="58" t="n"/>
      <c r="E134" s="58" t="n"/>
      <c r="F134" s="58" t="n"/>
      <c r="G134" s="58" t="n"/>
      <c r="H134" s="55" t="inlineStr">
        <is>
          <t>跳转至目标活动页面</t>
        </is>
      </c>
      <c r="I134" s="54" t="inlineStr">
        <is>
          <t>X</t>
        </is>
      </c>
      <c r="J134" s="55" t="inlineStr">
        <is>
          <t>跳转响应</t>
        </is>
      </c>
      <c r="K134" s="55" t="inlineStr">
        <is>
          <t>目标URL、页面类型、跳转参数、打开方式</t>
        </is>
      </c>
      <c r="L134" s="54" t="inlineStr">
        <is>
          <t>新增</t>
        </is>
      </c>
      <c r="M134" s="56">
        <f>IF(L134="新增",1,IF(L134="复用",1/3,0))</f>
        <v/>
      </c>
    </row>
    <row r="135" ht="54" customHeight="1">
      <c r="A135" s="57" t="n"/>
      <c r="B135" s="57" t="n"/>
      <c r="C135" s="57" t="n"/>
      <c r="D135" s="54" t="inlineStr">
        <is>
          <t>选择产品类别标签</t>
        </is>
      </c>
      <c r="E135" s="54" t="inlineStr">
        <is>
          <t>发起者：操作员
接收者：地市后台</t>
        </is>
      </c>
      <c r="F135" s="54" t="inlineStr">
        <is>
          <t>用户触发</t>
        </is>
      </c>
      <c r="G135" s="54" t="inlineStr">
        <is>
          <t>选择产品类别标签</t>
        </is>
      </c>
      <c r="H135" s="55" t="inlineStr">
        <is>
          <t>点击选择产品类别标签，提交分类筛选请求</t>
        </is>
      </c>
      <c r="I135" s="54" t="inlineStr">
        <is>
          <t>E</t>
        </is>
      </c>
      <c r="J135" s="55" t="inlineStr">
        <is>
          <t>分类选择请求</t>
        </is>
      </c>
      <c r="K135" s="55" t="inlineStr">
        <is>
          <t>标签ID、用户标识、页面来源</t>
        </is>
      </c>
      <c r="L135" s="54" t="inlineStr">
        <is>
          <t>新增</t>
        </is>
      </c>
      <c r="M135" s="56">
        <f>IF(L135="新增",1,IF(L135="复用",1/3,0))</f>
        <v/>
      </c>
    </row>
    <row r="136" ht="54" customHeight="1">
      <c r="A136" s="57" t="n"/>
      <c r="B136" s="57" t="n"/>
      <c r="C136" s="57" t="n"/>
      <c r="D136" s="57" t="n"/>
      <c r="E136" s="57" t="n"/>
      <c r="F136" s="57" t="n"/>
      <c r="G136" s="57" t="n"/>
      <c r="H136" s="55" t="inlineStr">
        <is>
          <t>根据所选分类读取产品数据</t>
        </is>
      </c>
      <c r="I136" s="54" t="inlineStr">
        <is>
          <t>R</t>
        </is>
      </c>
      <c r="J136" s="55" t="inlineStr">
        <is>
          <t>产品数据表</t>
        </is>
      </c>
      <c r="K136" s="55" t="inlineStr">
        <is>
          <t>产品ID、产品名称、产品价格、产品描述、分类ID</t>
        </is>
      </c>
      <c r="L136" s="54" t="inlineStr">
        <is>
          <t>新增</t>
        </is>
      </c>
      <c r="M136" s="56">
        <f>IF(L136="新增",1,IF(L136="复用",1/3,0))</f>
        <v/>
      </c>
    </row>
    <row r="137" ht="54" customHeight="1">
      <c r="A137" s="57" t="n"/>
      <c r="B137" s="57" t="n"/>
      <c r="C137" s="58" t="n"/>
      <c r="D137" s="58" t="n"/>
      <c r="E137" s="58" t="n"/>
      <c r="F137" s="58" t="n"/>
      <c r="G137" s="58" t="n"/>
      <c r="H137" s="55" t="inlineStr">
        <is>
          <t>返回展示该分类下的产品列表</t>
        </is>
      </c>
      <c r="I137" s="54" t="inlineStr">
        <is>
          <t>X</t>
        </is>
      </c>
      <c r="J137" s="55" t="inlineStr">
        <is>
          <t>产品列表响应</t>
        </is>
      </c>
      <c r="K137" s="55" t="inlineStr">
        <is>
          <t>产品列表、总记录数、分页信息、排序字段</t>
        </is>
      </c>
      <c r="L137" s="54" t="inlineStr">
        <is>
          <t>新增</t>
        </is>
      </c>
      <c r="M137" s="56">
        <f>IF(L137="新增",1,IF(L137="复用",1/3,0))</f>
        <v/>
      </c>
    </row>
    <row r="138" ht="54" customHeight="1">
      <c r="A138" s="57" t="n"/>
      <c r="B138" s="57" t="n"/>
      <c r="C138" s="54" t="inlineStr">
        <is>
          <t>小福包下单页面</t>
        </is>
      </c>
      <c r="D138" s="54" t="inlineStr">
        <is>
          <t>小福包下单详情页面</t>
        </is>
      </c>
      <c r="E138" s="54" t="inlineStr">
        <is>
          <t>发起者：操作员
接收者：地市后台</t>
        </is>
      </c>
      <c r="F138" s="54" t="inlineStr">
        <is>
          <t>用户触发</t>
        </is>
      </c>
      <c r="G138" s="54" t="inlineStr">
        <is>
          <t>小福包下单详情页面</t>
        </is>
      </c>
      <c r="H138" s="55" t="inlineStr">
        <is>
          <t>点击小福包产品提交选择指令</t>
        </is>
      </c>
      <c r="I138" s="54" t="inlineStr">
        <is>
          <t>E</t>
        </is>
      </c>
      <c r="J138" s="55" t="inlineStr">
        <is>
          <t>产品选择请求</t>
        </is>
      </c>
      <c r="K138" s="55" t="inlineStr">
        <is>
          <t>产品ID、用户ID、请求来源</t>
        </is>
      </c>
      <c r="L138" s="54" t="inlineStr">
        <is>
          <t>新增</t>
        </is>
      </c>
      <c r="M138" s="56">
        <f>IF(L138="新增",1,IF(L138="复用",1/3,0))</f>
        <v/>
      </c>
    </row>
    <row r="139" ht="54" customHeight="1">
      <c r="A139" s="57" t="n"/>
      <c r="B139" s="57" t="n"/>
      <c r="C139" s="57" t="n"/>
      <c r="D139" s="57" t="n"/>
      <c r="E139" s="57" t="n"/>
      <c r="F139" s="57" t="n"/>
      <c r="G139" s="57" t="n"/>
      <c r="H139" s="55" t="inlineStr">
        <is>
          <t>读取小福包产品数据</t>
        </is>
      </c>
      <c r="I139" s="54" t="inlineStr">
        <is>
          <t>R</t>
        </is>
      </c>
      <c r="J139" s="55" t="inlineStr">
        <is>
          <t>小福包产品表</t>
        </is>
      </c>
      <c r="K139" s="55" t="inlineStr">
        <is>
          <t>产品编码、产品名称、价格、娱乐小福包列表、附加业务列表</t>
        </is>
      </c>
      <c r="L139" s="54" t="inlineStr">
        <is>
          <t>新增</t>
        </is>
      </c>
      <c r="M139" s="56">
        <f>IF(L139="新增",1,IF(L139="复用",1/3,0))</f>
        <v/>
      </c>
    </row>
    <row r="140" ht="54" customHeight="1">
      <c r="A140" s="57" t="n"/>
      <c r="B140" s="57" t="n"/>
      <c r="C140" s="57" t="n"/>
      <c r="D140" s="57" t="n"/>
      <c r="E140" s="57" t="n"/>
      <c r="F140" s="57" t="n"/>
      <c r="G140" s="57" t="n"/>
      <c r="H140" s="55" t="inlineStr">
        <is>
          <t>调用融合宽带新装应用获取推荐宽带套餐</t>
        </is>
      </c>
      <c r="I140" s="54" t="inlineStr">
        <is>
          <t>X</t>
        </is>
      </c>
      <c r="J140" s="55" t="inlineStr">
        <is>
          <t>套餐推荐请求</t>
        </is>
      </c>
      <c r="K140" s="55" t="inlineStr">
        <is>
          <t>用户ID、产品ID、推荐场景（首推权益宽带）、城市编码</t>
        </is>
      </c>
      <c r="L140" s="54" t="inlineStr">
        <is>
          <t>新增</t>
        </is>
      </c>
      <c r="M140" s="56">
        <f>IF(L140="新增",1,IF(L140="复用",1/3,0))</f>
        <v/>
      </c>
    </row>
    <row r="141" ht="54" customHeight="1">
      <c r="A141" s="57" t="n"/>
      <c r="B141" s="57" t="n"/>
      <c r="C141" s="57" t="n"/>
      <c r="D141" s="57" t="n"/>
      <c r="E141" s="57" t="n"/>
      <c r="F141" s="57" t="n"/>
      <c r="G141" s="57" t="n"/>
      <c r="H141" s="55" t="inlineStr">
        <is>
          <t>接收融合宽带新装应用返回的推荐套餐列表</t>
        </is>
      </c>
      <c r="I141" s="54" t="inlineStr">
        <is>
          <t>E</t>
        </is>
      </c>
      <c r="J141" s="55" t="inlineStr">
        <is>
          <t>套餐推荐响应</t>
        </is>
      </c>
      <c r="K141" s="55" t="inlineStr">
        <is>
          <t>套餐ID、套餐名称、资费、权益说明、推荐排序</t>
        </is>
      </c>
      <c r="L141" s="54" t="inlineStr">
        <is>
          <t>新增</t>
        </is>
      </c>
      <c r="M141" s="56">
        <f>IF(L141="新增",1,IF(L141="复用",1/3,0))</f>
        <v/>
      </c>
    </row>
    <row r="142" ht="54" customHeight="1">
      <c r="A142" s="57" t="n"/>
      <c r="B142" s="57" t="n"/>
      <c r="C142" s="57" t="n"/>
      <c r="D142" s="58" t="n"/>
      <c r="E142" s="58" t="n"/>
      <c r="F142" s="58" t="n"/>
      <c r="G142" s="58" t="n"/>
      <c r="H142" s="55" t="inlineStr">
        <is>
          <t>渲染并展示下单详情页面</t>
        </is>
      </c>
      <c r="I142" s="54" t="inlineStr">
        <is>
          <t>X</t>
        </is>
      </c>
      <c r="J142" s="55" t="inlineStr">
        <is>
          <t>下单详情页面响应</t>
        </is>
      </c>
      <c r="K142" s="55" t="inlineStr">
        <is>
          <t>产品信息、推荐宽带套餐列表、娱乐小福包模块、附加业务模块、页面布局配置</t>
        </is>
      </c>
      <c r="L142" s="54" t="inlineStr">
        <is>
          <t>新增</t>
        </is>
      </c>
      <c r="M142" s="56">
        <f>IF(L142="新增",1,IF(L142="复用",1/3,0))</f>
        <v/>
      </c>
    </row>
    <row r="143" ht="54" customHeight="1">
      <c r="A143" s="57" t="n"/>
      <c r="B143" s="57" t="n"/>
      <c r="C143" s="57" t="n"/>
      <c r="D143" s="54" t="inlineStr">
        <is>
          <t>选择推荐宽带基础套餐</t>
        </is>
      </c>
      <c r="E143" s="54" t="inlineStr">
        <is>
          <t>发起者：操作员
接收者：地市后台</t>
        </is>
      </c>
      <c r="F143" s="54" t="inlineStr">
        <is>
          <t>用户触发</t>
        </is>
      </c>
      <c r="G143" s="54" t="inlineStr">
        <is>
          <t>推荐宽带套餐推荐列表页面</t>
        </is>
      </c>
      <c r="H143" s="55" t="inlineStr">
        <is>
          <t>用户进入小福包下单页面请求推荐宽带套餐列表</t>
        </is>
      </c>
      <c r="I143" s="54" t="inlineStr">
        <is>
          <t>E</t>
        </is>
      </c>
      <c r="J143" s="55" t="inlineStr">
        <is>
          <t>套餐列表请求</t>
        </is>
      </c>
      <c r="K143" s="55" t="inlineStr">
        <is>
          <t>用户标识、权益编码、分页参数</t>
        </is>
      </c>
      <c r="L143" s="54" t="inlineStr">
        <is>
          <t>新增</t>
        </is>
      </c>
      <c r="M143" s="56">
        <f>IF(L143="新增",1,IF(L143="复用",1/3,0))</f>
        <v/>
      </c>
    </row>
    <row r="144" ht="54" customHeight="1">
      <c r="A144" s="57" t="n"/>
      <c r="B144" s="57" t="n"/>
      <c r="C144" s="57" t="n"/>
      <c r="D144" s="57" t="n"/>
      <c r="E144" s="57" t="n"/>
      <c r="F144" s="57" t="n"/>
      <c r="G144" s="57" t="n"/>
      <c r="H144" s="55" t="inlineStr">
        <is>
          <t>系统从数据库读取可办理的宽带基础套餐数据</t>
        </is>
      </c>
      <c r="I144" s="54" t="inlineStr">
        <is>
          <t>R</t>
        </is>
      </c>
      <c r="J144" s="55" t="inlineStr">
        <is>
          <t>宽带套餐表</t>
        </is>
      </c>
      <c r="K144" s="55" t="inlineStr">
        <is>
          <t>套餐ID、套餐名称、套餐编码、资费描述、适用权益</t>
        </is>
      </c>
      <c r="L144" s="54" t="inlineStr">
        <is>
          <t>新增</t>
        </is>
      </c>
      <c r="M144" s="56">
        <f>IF(L144="新增",1,IF(L144="复用",1/3,0))</f>
        <v/>
      </c>
    </row>
    <row r="145" ht="54" customHeight="1">
      <c r="A145" s="57" t="n"/>
      <c r="B145" s="57" t="n"/>
      <c r="C145" s="57" t="n"/>
      <c r="D145" s="57" t="n"/>
      <c r="E145" s="58" t="n"/>
      <c r="F145" s="58" t="n"/>
      <c r="G145" s="58" t="n"/>
      <c r="H145" s="55" t="inlineStr">
        <is>
          <t>将推荐宽带套餐列表返回展示给用户</t>
        </is>
      </c>
      <c r="I145" s="54" t="inlineStr">
        <is>
          <t>X</t>
        </is>
      </c>
      <c r="J145" s="55" t="inlineStr">
        <is>
          <t>套餐列表响应</t>
        </is>
      </c>
      <c r="K145" s="55" t="inlineStr">
        <is>
          <t>套餐ID、套餐名称、资费描述、排序字段</t>
        </is>
      </c>
      <c r="L145" s="54" t="inlineStr">
        <is>
          <t>新增</t>
        </is>
      </c>
      <c r="M145" s="56">
        <f>IF(L145="新增",1,IF(L145="复用",1/3,0))</f>
        <v/>
      </c>
    </row>
    <row r="146" ht="54" customHeight="1">
      <c r="A146" s="57" t="n"/>
      <c r="B146" s="57" t="n"/>
      <c r="C146" s="57" t="n"/>
      <c r="D146" s="57" t="n"/>
      <c r="E146" s="54" t="inlineStr">
        <is>
          <t>发起者：操作员
接收者：地市后台</t>
        </is>
      </c>
      <c r="F146" s="54" t="inlineStr">
        <is>
          <t>用户触发</t>
        </is>
      </c>
      <c r="G146" s="54" t="inlineStr">
        <is>
          <t>选择推荐宽带基础套餐</t>
        </is>
      </c>
      <c r="H146" s="55" t="inlineStr">
        <is>
          <t>用户从下拉列表中选择一个宽带基础套餐并提交</t>
        </is>
      </c>
      <c r="I146" s="54" t="inlineStr">
        <is>
          <t>E</t>
        </is>
      </c>
      <c r="J146" s="55" t="inlineStr">
        <is>
          <t>套餐选择指令</t>
        </is>
      </c>
      <c r="K146" s="55" t="inlineStr">
        <is>
          <t>订单编号、套餐ID、用户ID</t>
        </is>
      </c>
      <c r="L146" s="54" t="inlineStr">
        <is>
          <t>新增</t>
        </is>
      </c>
      <c r="M146" s="56">
        <f>IF(L146="新增",1,IF(L146="复用",1/3,0))</f>
        <v/>
      </c>
    </row>
    <row r="147" ht="54" customHeight="1">
      <c r="A147" s="57" t="n"/>
      <c r="B147" s="57" t="n"/>
      <c r="C147" s="57" t="n"/>
      <c r="D147" s="58" t="n"/>
      <c r="E147" s="58" t="n"/>
      <c r="F147" s="58" t="n"/>
      <c r="G147" s="58" t="n"/>
      <c r="H147" s="55" t="inlineStr">
        <is>
          <t>系统将选中的套餐信息写入订单或用户选择记录</t>
        </is>
      </c>
      <c r="I147" s="54" t="inlineStr">
        <is>
          <t>W</t>
        </is>
      </c>
      <c r="J147" s="55" t="inlineStr">
        <is>
          <t>订单套餐表</t>
        </is>
      </c>
      <c r="K147" s="55" t="inlineStr">
        <is>
          <t>订单编号、套餐ID、套餐名称、选择时间</t>
        </is>
      </c>
      <c r="L147" s="54" t="inlineStr">
        <is>
          <t>新增</t>
        </is>
      </c>
      <c r="M147" s="56">
        <f>IF(L147="新增",1,IF(L147="复用",1/3,0))</f>
        <v/>
      </c>
    </row>
    <row r="148" ht="54" customHeight="1">
      <c r="A148" s="57" t="n"/>
      <c r="B148" s="57" t="n"/>
      <c r="C148" s="57" t="n"/>
      <c r="D148" s="54" t="inlineStr">
        <is>
          <t>查看小福包子业务详情</t>
        </is>
      </c>
      <c r="E148" s="54" t="inlineStr">
        <is>
          <t>发起者：操作员
接收者：地市后台</t>
        </is>
      </c>
      <c r="F148" s="54" t="inlineStr">
        <is>
          <t>用户触发</t>
        </is>
      </c>
      <c r="G148" s="54" t="inlineStr">
        <is>
          <t>查看小福包子业务详情</t>
        </is>
      </c>
      <c r="H148" s="55" t="inlineStr">
        <is>
          <t>点击子业务查看说明标签</t>
        </is>
      </c>
      <c r="I148" s="54" t="inlineStr">
        <is>
          <t>E</t>
        </is>
      </c>
      <c r="J148" s="55" t="inlineStr">
        <is>
          <t>子业务详情请求</t>
        </is>
      </c>
      <c r="K148" s="55" t="inlineStr">
        <is>
          <t>子业务ID、用户标识、页面来源</t>
        </is>
      </c>
      <c r="L148" s="54" t="inlineStr">
        <is>
          <t>新增</t>
        </is>
      </c>
      <c r="M148" s="56">
        <f>IF(L148="新增",1,IF(L148="复用",1/3,0))</f>
        <v/>
      </c>
    </row>
    <row r="149" ht="54" customHeight="1">
      <c r="A149" s="57" t="n"/>
      <c r="B149" s="57" t="n"/>
      <c r="C149" s="57" t="n"/>
      <c r="D149" s="57" t="n"/>
      <c r="E149" s="57" t="n"/>
      <c r="F149" s="57" t="n"/>
      <c r="G149" s="57" t="n"/>
      <c r="H149" s="55" t="inlineStr">
        <is>
          <t>读取子业务详情数据</t>
        </is>
      </c>
      <c r="I149" s="54" t="inlineStr">
        <is>
          <t>R</t>
        </is>
      </c>
      <c r="J149" s="55" t="inlineStr">
        <is>
          <t>子业务详情表</t>
        </is>
      </c>
      <c r="K149" s="55" t="inlineStr">
        <is>
          <t>子业务名称、业务描述、优惠说明、适用规则、生效时间、失效时间</t>
        </is>
      </c>
      <c r="L149" s="54" t="inlineStr">
        <is>
          <t>新增</t>
        </is>
      </c>
      <c r="M149" s="56">
        <f>IF(L149="新增",1,IF(L149="复用",1/3,0))</f>
        <v/>
      </c>
    </row>
    <row r="150" ht="54" customHeight="1">
      <c r="A150" s="57" t="n"/>
      <c r="B150" s="57" t="n"/>
      <c r="C150" s="57" t="n"/>
      <c r="D150" s="58" t="n"/>
      <c r="E150" s="58" t="n"/>
      <c r="F150" s="58" t="n"/>
      <c r="G150" s="58" t="n"/>
      <c r="H150" s="55" t="inlineStr">
        <is>
          <t>渲染并弹窗展示子业务详情</t>
        </is>
      </c>
      <c r="I150" s="54" t="inlineStr">
        <is>
          <t>X</t>
        </is>
      </c>
      <c r="J150" s="55" t="inlineStr">
        <is>
          <t>子业务详情响应</t>
        </is>
      </c>
      <c r="K150" s="55" t="inlineStr">
        <is>
          <t>子业务名称、业务描述、优惠说明、适用规则、弹窗标题、关闭按钮</t>
        </is>
      </c>
      <c r="L150" s="54" t="inlineStr">
        <is>
          <t>新增</t>
        </is>
      </c>
      <c r="M150" s="56">
        <f>IF(L150="新增",1,IF(L150="复用",1/3,0))</f>
        <v/>
      </c>
    </row>
    <row r="151" ht="54" customHeight="1">
      <c r="A151" s="57" t="n"/>
      <c r="B151" s="57" t="n"/>
      <c r="C151" s="57" t="n"/>
      <c r="D151" s="54" t="inlineStr">
        <is>
          <t>选择附加业务</t>
        </is>
      </c>
      <c r="E151" s="54" t="inlineStr">
        <is>
          <t>发起者：操作员
接收者：地市后台</t>
        </is>
      </c>
      <c r="F151" s="54" t="inlineStr">
        <is>
          <t>用户触发</t>
        </is>
      </c>
      <c r="G151" s="54" t="inlineStr">
        <is>
          <t>选择附加业务</t>
        </is>
      </c>
      <c r="H151" s="55" t="inlineStr">
        <is>
          <t>用户勾选/取消勾选附加业务提交办理选择</t>
        </is>
      </c>
      <c r="I151" s="54" t="inlineStr">
        <is>
          <t>E</t>
        </is>
      </c>
      <c r="J151" s="55" t="inlineStr">
        <is>
          <t>附加业务选择请求</t>
        </is>
      </c>
      <c r="K151" s="55" t="inlineStr">
        <is>
          <t>订单标识、附加业务编码、勾选状态</t>
        </is>
      </c>
      <c r="L151" s="54" t="inlineStr">
        <is>
          <t>新增</t>
        </is>
      </c>
      <c r="M151" s="56">
        <f>IF(L151="新增",1,IF(L151="复用",1/3,0))</f>
        <v/>
      </c>
    </row>
    <row r="152" ht="54" customHeight="1">
      <c r="A152" s="57" t="n"/>
      <c r="B152" s="57" t="n"/>
      <c r="C152" s="57" t="n"/>
      <c r="D152" s="58" t="n"/>
      <c r="E152" s="58" t="n"/>
      <c r="F152" s="58" t="n"/>
      <c r="G152" s="58" t="n"/>
      <c r="H152" s="55" t="inlineStr">
        <is>
          <t>保存附加业务办理选择到订单</t>
        </is>
      </c>
      <c r="I152" s="54" t="inlineStr">
        <is>
          <t>W</t>
        </is>
      </c>
      <c r="J152" s="55" t="inlineStr">
        <is>
          <t>订单附加业务表</t>
        </is>
      </c>
      <c r="K152" s="55" t="inlineStr">
        <is>
          <t>订单标识、附加业务编码、办理状态、操作时间</t>
        </is>
      </c>
      <c r="L152" s="54" t="inlineStr">
        <is>
          <t>新增</t>
        </is>
      </c>
      <c r="M152" s="56">
        <f>IF(L152="新增",1,IF(L152="复用",1/3,0))</f>
        <v/>
      </c>
    </row>
    <row r="153" ht="54" customHeight="1">
      <c r="A153" s="57" t="n"/>
      <c r="B153" s="57" t="n"/>
      <c r="C153" s="57" t="n"/>
      <c r="D153" s="54" t="inlineStr">
        <is>
          <t>查看附加业务详情</t>
        </is>
      </c>
      <c r="E153" s="54" t="inlineStr">
        <is>
          <t>发起者：操作员
接收者：地市后台</t>
        </is>
      </c>
      <c r="F153" s="54" t="inlineStr">
        <is>
          <t>用户触发</t>
        </is>
      </c>
      <c r="G153" s="54" t="inlineStr">
        <is>
          <t>查看附加业务详情</t>
        </is>
      </c>
      <c r="H153" s="55" t="inlineStr">
        <is>
          <t>用户点击查看说明标签提交附加业务标识</t>
        </is>
      </c>
      <c r="I153" s="54" t="inlineStr">
        <is>
          <t>E</t>
        </is>
      </c>
      <c r="J153" s="55" t="inlineStr">
        <is>
          <t>附加业务详情请求</t>
        </is>
      </c>
      <c r="K153" s="55" t="inlineStr">
        <is>
          <t>附加业务ID、用户标识、操作时间</t>
        </is>
      </c>
      <c r="L153" s="54" t="inlineStr">
        <is>
          <t>新增</t>
        </is>
      </c>
      <c r="M153" s="56">
        <f>IF(L153="新增",1,IF(L153="复用",1/3,0))</f>
        <v/>
      </c>
    </row>
    <row r="154" ht="54" customHeight="1">
      <c r="A154" s="57" t="n"/>
      <c r="B154" s="57" t="n"/>
      <c r="C154" s="57" t="n"/>
      <c r="D154" s="57" t="n"/>
      <c r="E154" s="57" t="n"/>
      <c r="F154" s="57" t="n"/>
      <c r="G154" s="57" t="n"/>
      <c r="H154" s="55" t="inlineStr">
        <is>
          <t>系统从数据库读取附加业务详情数据</t>
        </is>
      </c>
      <c r="I154" s="54" t="inlineStr">
        <is>
          <t>R</t>
        </is>
      </c>
      <c r="J154" s="55" t="inlineStr">
        <is>
          <t>附加业务详情数据</t>
        </is>
      </c>
      <c r="K154" s="55" t="inlineStr">
        <is>
          <t>附加业务ID、业务名称、业务描述、计费方式、生效规则</t>
        </is>
      </c>
      <c r="L154" s="54" t="inlineStr">
        <is>
          <t>新增</t>
        </is>
      </c>
      <c r="M154" s="56">
        <f>IF(L154="新增",1,IF(L154="复用",1/3,0))</f>
        <v/>
      </c>
    </row>
    <row r="155" ht="54" customHeight="1">
      <c r="A155" s="57" t="n"/>
      <c r="B155" s="57" t="n"/>
      <c r="C155" s="57" t="n"/>
      <c r="D155" s="58" t="n"/>
      <c r="E155" s="58" t="n"/>
      <c r="F155" s="58" t="n"/>
      <c r="G155" s="58" t="n"/>
      <c r="H155" s="55" t="inlineStr">
        <is>
          <t>系统渲染弹窗展示附加业务详情</t>
        </is>
      </c>
      <c r="I155" s="54" t="inlineStr">
        <is>
          <t>X</t>
        </is>
      </c>
      <c r="J155" s="55" t="inlineStr">
        <is>
          <t>附加业务详情弹窗</t>
        </is>
      </c>
      <c r="K155" s="55" t="inlineStr">
        <is>
          <t>业务名称、业务描述、计费方式、生效规则、关闭按钮</t>
        </is>
      </c>
      <c r="L155" s="54" t="inlineStr">
        <is>
          <t>新增</t>
        </is>
      </c>
      <c r="M155" s="56">
        <f>IF(L155="新增",1,IF(L155="复用",1/3,0))</f>
        <v/>
      </c>
    </row>
    <row r="156" ht="54" customHeight="1">
      <c r="A156" s="57" t="n"/>
      <c r="B156" s="57" t="n"/>
      <c r="C156" s="57" t="n"/>
      <c r="D156" s="54" t="inlineStr">
        <is>
          <t>立即办理</t>
        </is>
      </c>
      <c r="E156" s="54" t="inlineStr">
        <is>
          <t>发起者：操作员
接收者：地市后台</t>
        </is>
      </c>
      <c r="F156" s="54" t="inlineStr">
        <is>
          <t>用户触发</t>
        </is>
      </c>
      <c r="G156" s="54" t="inlineStr">
        <is>
          <t>办理小福包鉴权</t>
        </is>
      </c>
      <c r="H156" s="55" t="inlineStr">
        <is>
          <t>点击立即办理</t>
        </is>
      </c>
      <c r="I156" s="54" t="inlineStr">
        <is>
          <t>E</t>
        </is>
      </c>
      <c r="J156" s="55" t="inlineStr">
        <is>
          <t>鉴权请求</t>
        </is>
      </c>
      <c r="K156" s="55" t="inlineStr">
        <is>
          <t>用户ID、小福包产品编码、归属地市</t>
        </is>
      </c>
      <c r="L156" s="54" t="inlineStr">
        <is>
          <t>新增</t>
        </is>
      </c>
      <c r="M156" s="56">
        <f>IF(L156="新增",1,IF(L156="复用",1/3,0))</f>
        <v/>
      </c>
    </row>
    <row r="157" ht="54" customHeight="1">
      <c r="A157" s="57" t="n"/>
      <c r="B157" s="57" t="n"/>
      <c r="C157" s="57" t="n"/>
      <c r="D157" s="57" t="n"/>
      <c r="E157" s="57" t="n"/>
      <c r="F157" s="57" t="n"/>
      <c r="G157" s="57" t="n"/>
      <c r="H157" s="55" t="inlineStr">
        <is>
          <t>读取鉴权数据</t>
        </is>
      </c>
      <c r="I157" s="54" t="inlineStr">
        <is>
          <t>R</t>
        </is>
      </c>
      <c r="J157" s="55" t="inlineStr">
        <is>
          <t>鉴权数据</t>
        </is>
      </c>
      <c r="K157" s="55" t="inlineStr">
        <is>
          <t>用户身份、办理资格、黑名单状态</t>
        </is>
      </c>
      <c r="L157" s="54" t="inlineStr">
        <is>
          <t>新增</t>
        </is>
      </c>
      <c r="M157" s="56">
        <f>IF(L157="新增",1,IF(L157="复用",1/3,0))</f>
        <v/>
      </c>
    </row>
    <row r="158" ht="54" customHeight="1">
      <c r="A158" s="57" t="n"/>
      <c r="B158" s="57" t="n"/>
      <c r="C158" s="57" t="n"/>
      <c r="D158" s="57" t="n"/>
      <c r="E158" s="58" t="n"/>
      <c r="F158" s="58" t="n"/>
      <c r="G158" s="58" t="n"/>
      <c r="H158" s="55" t="inlineStr">
        <is>
          <t>返回鉴权结果</t>
        </is>
      </c>
      <c r="I158" s="54" t="inlineStr">
        <is>
          <t>X</t>
        </is>
      </c>
      <c r="J158" s="55" t="inlineStr">
        <is>
          <t>鉴权结果</t>
        </is>
      </c>
      <c r="K158" s="55" t="inlineStr">
        <is>
          <t>鉴权状态、提示信息、触发动作</t>
        </is>
      </c>
      <c r="L158" s="54" t="inlineStr">
        <is>
          <t>新增</t>
        </is>
      </c>
      <c r="M158" s="56">
        <f>IF(L158="新增",1,IF(L158="复用",1/3,0))</f>
        <v/>
      </c>
    </row>
    <row r="159" ht="54" customHeight="1">
      <c r="A159" s="57" t="n"/>
      <c r="B159" s="57" t="n"/>
      <c r="C159" s="57" t="n"/>
      <c r="D159" s="57" t="n"/>
      <c r="E159" s="54" t="inlineStr">
        <is>
          <t>发起者：操作员
接收者：地市后台</t>
        </is>
      </c>
      <c r="F159" s="54" t="inlineStr">
        <is>
          <t>用户触发</t>
        </is>
      </c>
      <c r="G159" s="54" t="inlineStr">
        <is>
          <t>展示新增宽带表单</t>
        </is>
      </c>
      <c r="H159" s="55" t="inlineStr">
        <is>
          <t>发起获取新增宽带表单配置请求</t>
        </is>
      </c>
      <c r="I159" s="54" t="inlineStr">
        <is>
          <t>E</t>
        </is>
      </c>
      <c r="J159" s="55" t="inlineStr">
        <is>
          <t>表单配置请求</t>
        </is>
      </c>
      <c r="K159" s="55" t="inlineStr">
        <is>
          <t>小福包产品编码、归属地市、鉴权凭证</t>
        </is>
      </c>
      <c r="L159" s="54" t="inlineStr">
        <is>
          <t>新增</t>
        </is>
      </c>
      <c r="M159" s="56">
        <f>IF(L159="新增",1,IF(L159="复用",1/3,0))</f>
        <v/>
      </c>
    </row>
    <row r="160" ht="54" customHeight="1">
      <c r="A160" s="57" t="n"/>
      <c r="B160" s="57" t="n"/>
      <c r="C160" s="57" t="n"/>
      <c r="D160" s="57" t="n"/>
      <c r="E160" s="57" t="n"/>
      <c r="F160" s="57" t="n"/>
      <c r="G160" s="57" t="n"/>
      <c r="H160" s="55" t="inlineStr">
        <is>
          <t>读取宽带表单配置</t>
        </is>
      </c>
      <c r="I160" s="54" t="inlineStr">
        <is>
          <t>R</t>
        </is>
      </c>
      <c r="J160" s="55" t="inlineStr">
        <is>
          <t>宽带表单配置表</t>
        </is>
      </c>
      <c r="K160" s="55" t="inlineStr">
        <is>
          <t>宽带设备列表、设备租赁模式选项、宽带押金范围、电视机顶盒押金范围、其他字段配置</t>
        </is>
      </c>
      <c r="L160" s="54" t="inlineStr">
        <is>
          <t>新增</t>
        </is>
      </c>
      <c r="M160" s="56">
        <f>IF(L160="新增",1,IF(L160="复用",1/3,0))</f>
        <v/>
      </c>
    </row>
    <row r="161" ht="72" customHeight="1">
      <c r="A161" s="57" t="n"/>
      <c r="B161" s="57" t="n"/>
      <c r="C161" s="57" t="n"/>
      <c r="D161" s="58" t="n"/>
      <c r="E161" s="58" t="n"/>
      <c r="F161" s="58" t="n"/>
      <c r="G161" s="58" t="n"/>
      <c r="H161" s="55" t="inlineStr">
        <is>
          <t>返回新增宽带表单数据</t>
        </is>
      </c>
      <c r="I161" s="54" t="inlineStr">
        <is>
          <t>X</t>
        </is>
      </c>
      <c r="J161" s="55" t="inlineStr">
        <is>
          <t>新增宽带表单响应</t>
        </is>
      </c>
      <c r="K161" s="55" t="inlineStr">
        <is>
          <t>宽带设备选项、设备租赁模式、宽带押金、电视机顶盒押金、归属地市、安装地址、安装时间、联系人、联系号码</t>
        </is>
      </c>
      <c r="L161" s="54" t="inlineStr">
        <is>
          <t>新增</t>
        </is>
      </c>
      <c r="M161" s="56">
        <f>IF(L161="新增",1,IF(L161="复用",1/3,0))</f>
        <v/>
      </c>
    </row>
    <row r="162" ht="54" customHeight="1">
      <c r="A162" s="57" t="n"/>
      <c r="B162" s="57" t="n"/>
      <c r="C162" s="57" t="n"/>
      <c r="D162" s="54" t="inlineStr">
        <is>
          <t>查询宽带装机时间</t>
        </is>
      </c>
      <c r="E162" s="54" t="inlineStr">
        <is>
          <t>发起者：操作员
接收者：地市后台</t>
        </is>
      </c>
      <c r="F162" s="54" t="inlineStr">
        <is>
          <t>用户触发</t>
        </is>
      </c>
      <c r="G162" s="54" t="inlineStr">
        <is>
          <t>查询宽带装机时间</t>
        </is>
      </c>
      <c r="H162" s="55" t="inlineStr">
        <is>
          <t>用户点击装机时间标签发起查询</t>
        </is>
      </c>
      <c r="I162" s="54" t="inlineStr">
        <is>
          <t>E</t>
        </is>
      </c>
      <c r="J162" s="55" t="inlineStr">
        <is>
          <t>装机时间查询请求</t>
        </is>
      </c>
      <c r="K162" s="55" t="inlineStr">
        <is>
          <t>机构号、用户标识、分销链接ID</t>
        </is>
      </c>
      <c r="L162" s="54" t="inlineStr">
        <is>
          <t>新增</t>
        </is>
      </c>
      <c r="M162" s="56">
        <f>IF(L162="新增",1,IF(L162="复用",1/3,0))</f>
        <v/>
      </c>
    </row>
    <row r="163" ht="54" customHeight="1">
      <c r="A163" s="57" t="n"/>
      <c r="B163" s="57" t="n"/>
      <c r="C163" s="57" t="n"/>
      <c r="D163" s="57" t="n"/>
      <c r="E163" s="57" t="n"/>
      <c r="F163" s="57" t="n"/>
      <c r="G163" s="57" t="n"/>
      <c r="H163" s="55" t="inlineStr">
        <is>
          <t>根据机构号读取对应社区经理信息</t>
        </is>
      </c>
      <c r="I163" s="54" t="inlineStr">
        <is>
          <t>R</t>
        </is>
      </c>
      <c r="J163" s="55" t="inlineStr">
        <is>
          <t>社区经理表</t>
        </is>
      </c>
      <c r="K163" s="55" t="inlineStr">
        <is>
          <t>机构号、社区经理ID、社区经理姓名、联系电话</t>
        </is>
      </c>
      <c r="L163" s="54" t="inlineStr">
        <is>
          <t>新增</t>
        </is>
      </c>
      <c r="M163" s="56">
        <f>IF(L163="新增",1,IF(L163="复用",1/3,0))</f>
        <v/>
      </c>
    </row>
    <row r="164" ht="54" customHeight="1">
      <c r="A164" s="57" t="n"/>
      <c r="B164" s="57" t="n"/>
      <c r="C164" s="57" t="n"/>
      <c r="D164" s="57" t="n"/>
      <c r="E164" s="57" t="n"/>
      <c r="F164" s="57" t="n"/>
      <c r="G164" s="57" t="n"/>
      <c r="H164" s="55" t="inlineStr">
        <is>
          <t>调用社区经理空闲时间数据读取空闲时间范围</t>
        </is>
      </c>
      <c r="I164" s="54" t="inlineStr">
        <is>
          <t>R</t>
        </is>
      </c>
      <c r="J164" s="55" t="inlineStr">
        <is>
          <t>社区经理空闲时间表</t>
        </is>
      </c>
      <c r="K164" s="55" t="inlineStr">
        <is>
          <t>社区经理ID、空闲日期、开始时段、结束时段</t>
        </is>
      </c>
      <c r="L164" s="54" t="inlineStr">
        <is>
          <t>新增</t>
        </is>
      </c>
      <c r="M164" s="56">
        <f>IF(L164="新增",1,IF(L164="复用",1/3,0))</f>
        <v/>
      </c>
    </row>
    <row r="165" ht="54" customHeight="1">
      <c r="A165" s="57" t="n"/>
      <c r="B165" s="57" t="n"/>
      <c r="C165" s="57" t="n"/>
      <c r="D165" s="58" t="n"/>
      <c r="E165" s="58" t="n"/>
      <c r="F165" s="58" t="n"/>
      <c r="G165" s="58" t="n"/>
      <c r="H165" s="55" t="inlineStr">
        <is>
          <t>返回并展示空闲的装机服务时间范围段</t>
        </is>
      </c>
      <c r="I165" s="54" t="inlineStr">
        <is>
          <t>X</t>
        </is>
      </c>
      <c r="J165" s="55" t="inlineStr">
        <is>
          <t>空闲装机时间响应</t>
        </is>
      </c>
      <c r="K165" s="55" t="inlineStr">
        <is>
          <t>空闲日期、时段列表、可预约标识</t>
        </is>
      </c>
      <c r="L165" s="54" t="inlineStr">
        <is>
          <t>新增</t>
        </is>
      </c>
      <c r="M165" s="56">
        <f>IF(L165="新增",1,IF(L165="复用",1/3,0))</f>
        <v/>
      </c>
    </row>
    <row r="166" ht="54" customHeight="1">
      <c r="A166" s="57" t="n"/>
      <c r="B166" s="57" t="n"/>
      <c r="C166" s="57" t="n"/>
      <c r="D166" s="54" t="inlineStr">
        <is>
          <t>查询选择宽带安装地址</t>
        </is>
      </c>
      <c r="E166" s="54" t="inlineStr">
        <is>
          <t>发起者：操作员
接收者：地市后台</t>
        </is>
      </c>
      <c r="F166" s="54" t="inlineStr">
        <is>
          <t>用户触发</t>
        </is>
      </c>
      <c r="G166" s="54" t="inlineStr">
        <is>
          <t>宽带安装地址页面</t>
        </is>
      </c>
      <c r="H166" s="55" t="inlineStr">
        <is>
          <t>点击进入宽带安装地址页面</t>
        </is>
      </c>
      <c r="I166" s="54" t="inlineStr">
        <is>
          <t>E</t>
        </is>
      </c>
      <c r="J166" s="55" t="inlineStr">
        <is>
          <t>页面请求</t>
        </is>
      </c>
      <c r="K166" s="55" t="inlineStr">
        <is>
          <t>用户ID、订单ID、页面标识</t>
        </is>
      </c>
      <c r="L166" s="54" t="inlineStr">
        <is>
          <t>新增</t>
        </is>
      </c>
      <c r="M166" s="56">
        <f>IF(L166="新增",1,IF(L166="复用",1/3,0))</f>
        <v/>
      </c>
    </row>
    <row r="167" ht="54" customHeight="1">
      <c r="A167" s="57" t="n"/>
      <c r="B167" s="57" t="n"/>
      <c r="C167" s="57" t="n"/>
      <c r="D167" s="57" t="n"/>
      <c r="E167" s="58" t="n"/>
      <c r="F167" s="58" t="n"/>
      <c r="G167" s="58" t="n"/>
      <c r="H167" s="55" t="inlineStr">
        <is>
          <t>返回宽带安装地址表单页面</t>
        </is>
      </c>
      <c r="I167" s="54" t="inlineStr">
        <is>
          <t>X</t>
        </is>
      </c>
      <c r="J167" s="55" t="inlineStr">
        <is>
          <t>宽带安装地址表单</t>
        </is>
      </c>
      <c r="K167" s="55" t="inlineStr">
        <is>
          <t>归属地市列表、归属县区列表、小区/村列表、楼栋/门牌号输入、房间号输入</t>
        </is>
      </c>
      <c r="L167" s="54" t="inlineStr">
        <is>
          <t>新增</t>
        </is>
      </c>
      <c r="M167" s="56">
        <f>IF(L167="新增",1,IF(L167="复用",1/3,0))</f>
        <v/>
      </c>
    </row>
    <row r="168" ht="54" customHeight="1">
      <c r="A168" s="57" t="n"/>
      <c r="B168" s="57" t="n"/>
      <c r="C168" s="57" t="n"/>
      <c r="D168" s="57" t="n"/>
      <c r="E168" s="54" t="inlineStr">
        <is>
          <t>发起者：操作员
接收者：地市后台</t>
        </is>
      </c>
      <c r="F168" s="54" t="inlineStr">
        <is>
          <t>用户触发</t>
        </is>
      </c>
      <c r="G168" s="54" t="inlineStr">
        <is>
          <t>查询匹配装机地址</t>
        </is>
      </c>
      <c r="H168" s="55" t="inlineStr">
        <is>
          <t>提交宽带安装地址查询条件</t>
        </is>
      </c>
      <c r="I168" s="54" t="inlineStr">
        <is>
          <t>E</t>
        </is>
      </c>
      <c r="J168" s="55" t="inlineStr">
        <is>
          <t>安装地址查询条件</t>
        </is>
      </c>
      <c r="K168" s="55" t="inlineStr">
        <is>
          <t>归属地市、归属县区、小区/村、楼栋/门牌号、房间号</t>
        </is>
      </c>
      <c r="L168" s="54" t="inlineStr">
        <is>
          <t>新增</t>
        </is>
      </c>
      <c r="M168" s="56">
        <f>IF(L168="新增",1,IF(L168="复用",1/3,0))</f>
        <v/>
      </c>
    </row>
    <row r="169" ht="54" customHeight="1">
      <c r="A169" s="57" t="n"/>
      <c r="B169" s="57" t="n"/>
      <c r="C169" s="57" t="n"/>
      <c r="D169" s="57" t="n"/>
      <c r="E169" s="57" t="n"/>
      <c r="F169" s="57" t="n"/>
      <c r="G169" s="57" t="n"/>
      <c r="H169" s="55" t="inlineStr">
        <is>
          <t>调用宽带9层地址接口查询匹配地址</t>
        </is>
      </c>
      <c r="I169" s="54" t="inlineStr">
        <is>
          <t>R</t>
        </is>
      </c>
      <c r="J169" s="55" t="inlineStr">
        <is>
          <t>宽带9层地址数据</t>
        </is>
      </c>
      <c r="K169" s="55" t="inlineStr">
        <is>
          <t>地址ID、省、市、区县、小区、楼栋、门牌号、房间号、状态</t>
        </is>
      </c>
      <c r="L169" s="54" t="inlineStr">
        <is>
          <t>新增</t>
        </is>
      </c>
      <c r="M169" s="56">
        <f>IF(L169="新增",1,IF(L169="复用",1/3,0))</f>
        <v/>
      </c>
    </row>
    <row r="170" ht="54" customHeight="1">
      <c r="A170" s="57" t="n"/>
      <c r="B170" s="57" t="n"/>
      <c r="C170" s="57" t="n"/>
      <c r="D170" s="57" t="n"/>
      <c r="E170" s="58" t="n"/>
      <c r="F170" s="58" t="n"/>
      <c r="G170" s="58" t="n"/>
      <c r="H170" s="55" t="inlineStr">
        <is>
          <t>返回装机地址列表或失败提示</t>
        </is>
      </c>
      <c r="I170" s="54" t="inlineStr">
        <is>
          <t>X</t>
        </is>
      </c>
      <c r="J170" s="55" t="inlineStr">
        <is>
          <t>装机地址匹配结果</t>
        </is>
      </c>
      <c r="K170" s="55" t="inlineStr">
        <is>
          <t>地址ID、归属地市、归属县区、小区/村、楼栋/门牌号、房间号、匹配状态、失败原因</t>
        </is>
      </c>
      <c r="L170" s="54" t="inlineStr">
        <is>
          <t>新增</t>
        </is>
      </c>
      <c r="M170" s="56">
        <f>IF(L170="新增",1,IF(L170="复用",1/3,0))</f>
        <v/>
      </c>
    </row>
    <row r="171" ht="54" customHeight="1">
      <c r="A171" s="57" t="n"/>
      <c r="B171" s="57" t="n"/>
      <c r="C171" s="57" t="n"/>
      <c r="D171" s="57" t="n"/>
      <c r="E171" s="54" t="inlineStr">
        <is>
          <t>发起者：操作员
接收者：地市后台</t>
        </is>
      </c>
      <c r="F171" s="54" t="inlineStr">
        <is>
          <t>用户触发</t>
        </is>
      </c>
      <c r="G171" s="54" t="inlineStr">
        <is>
          <t>选择宽带安装地址</t>
        </is>
      </c>
      <c r="H171" s="55" t="inlineStr">
        <is>
          <t>提交选中的装机地址</t>
        </is>
      </c>
      <c r="I171" s="54" t="inlineStr">
        <is>
          <t>E</t>
        </is>
      </c>
      <c r="J171" s="55" t="inlineStr">
        <is>
          <t>选中地址信息</t>
        </is>
      </c>
      <c r="K171" s="55" t="inlineStr">
        <is>
          <t>地址ID、操作员ID、订单ID</t>
        </is>
      </c>
      <c r="L171" s="54" t="inlineStr">
        <is>
          <t>新增</t>
        </is>
      </c>
      <c r="M171" s="56">
        <f>IF(L171="新增",1,IF(L171="复用",1/3,0))</f>
        <v/>
      </c>
    </row>
    <row r="172" ht="54" customHeight="1">
      <c r="A172" s="57" t="n"/>
      <c r="B172" s="57" t="n"/>
      <c r="C172" s="57" t="n"/>
      <c r="D172" s="58" t="n"/>
      <c r="E172" s="58" t="n"/>
      <c r="F172" s="58" t="n"/>
      <c r="G172" s="58" t="n"/>
      <c r="H172" s="55" t="inlineStr">
        <is>
          <t>将选中地址返回给宽带下单页面</t>
        </is>
      </c>
      <c r="I172" s="54" t="inlineStr">
        <is>
          <t>X</t>
        </is>
      </c>
      <c r="J172" s="55" t="inlineStr">
        <is>
          <t>选中地址详情</t>
        </is>
      </c>
      <c r="K172" s="55" t="inlineStr">
        <is>
          <t>地址ID、归属地市、归属县区、小区/村、楼栋/门牌号、房间号</t>
        </is>
      </c>
      <c r="L172" s="54" t="inlineStr">
        <is>
          <t>新增</t>
        </is>
      </c>
      <c r="M172" s="56">
        <f>IF(L172="新增",1,IF(L172="复用",1/3,0))</f>
        <v/>
      </c>
    </row>
    <row r="173" ht="54" customHeight="1">
      <c r="A173" s="57" t="n"/>
      <c r="B173" s="57" t="n"/>
      <c r="C173" s="57" t="n"/>
      <c r="D173" s="54" t="inlineStr">
        <is>
          <t>短信二次验证</t>
        </is>
      </c>
      <c r="E173" s="54" t="inlineStr">
        <is>
          <t>发起者：操作员
接收者：地市后台</t>
        </is>
      </c>
      <c r="F173" s="54" t="inlineStr">
        <is>
          <t>用户触发</t>
        </is>
      </c>
      <c r="G173" s="54" t="inlineStr">
        <is>
          <t>获取短信验证码</t>
        </is>
      </c>
      <c r="H173" s="55" t="inlineStr">
        <is>
          <t>用户点击获取验证码按钮</t>
        </is>
      </c>
      <c r="I173" s="54" t="inlineStr">
        <is>
          <t>E</t>
        </is>
      </c>
      <c r="J173" s="55" t="inlineStr">
        <is>
          <t>验证码请求</t>
        </is>
      </c>
      <c r="K173" s="55" t="inlineStr">
        <is>
          <t>手机号码、订单ID、用户ID</t>
        </is>
      </c>
      <c r="L173" s="54" t="inlineStr">
        <is>
          <t>新增</t>
        </is>
      </c>
      <c r="M173" s="56">
        <f>IF(L173="新增",1,IF(L173="复用",1/3,0))</f>
        <v/>
      </c>
    </row>
    <row r="174" ht="54" customHeight="1">
      <c r="A174" s="57" t="n"/>
      <c r="B174" s="57" t="n"/>
      <c r="C174" s="57" t="n"/>
      <c r="D174" s="57" t="n"/>
      <c r="E174" s="57" t="n"/>
      <c r="F174" s="57" t="n"/>
      <c r="G174" s="57" t="n"/>
      <c r="H174" s="55" t="inlineStr">
        <is>
          <t>系统将生成的验证码存储到数据库</t>
        </is>
      </c>
      <c r="I174" s="54" t="inlineStr">
        <is>
          <t>W</t>
        </is>
      </c>
      <c r="J174" s="55" t="inlineStr">
        <is>
          <t>验证码记录</t>
        </is>
      </c>
      <c r="K174" s="55" t="inlineStr">
        <is>
          <t>手机号码、验证码、过期时间、发送时间</t>
        </is>
      </c>
      <c r="L174" s="54" t="inlineStr">
        <is>
          <t>新增</t>
        </is>
      </c>
      <c r="M174" s="56">
        <f>IF(L174="新增",1,IF(L174="复用",1/3,0))</f>
        <v/>
      </c>
    </row>
    <row r="175" ht="54" customHeight="1">
      <c r="A175" s="57" t="n"/>
      <c r="B175" s="57" t="n"/>
      <c r="C175" s="57" t="n"/>
      <c r="D175" s="57" t="n"/>
      <c r="E175" s="58" t="n"/>
      <c r="F175" s="58" t="n"/>
      <c r="G175" s="58" t="n"/>
      <c r="H175" s="55" t="inlineStr">
        <is>
          <t>系统调用短信接口发送验证码短信给用户</t>
        </is>
      </c>
      <c r="I175" s="54" t="inlineStr">
        <is>
          <t>X</t>
        </is>
      </c>
      <c r="J175" s="55" t="inlineStr">
        <is>
          <t>短信内容</t>
        </is>
      </c>
      <c r="K175" s="55" t="inlineStr">
        <is>
          <t>手机号码、验证码、短信模板ID</t>
        </is>
      </c>
      <c r="L175" s="54" t="inlineStr">
        <is>
          <t>新增</t>
        </is>
      </c>
      <c r="M175" s="56">
        <f>IF(L175="新增",1,IF(L175="复用",1/3,0))</f>
        <v/>
      </c>
    </row>
    <row r="176" ht="54" customHeight="1">
      <c r="A176" s="57" t="n"/>
      <c r="B176" s="57" t="n"/>
      <c r="C176" s="57" t="n"/>
      <c r="D176" s="57" t="n"/>
      <c r="E176" s="54" t="inlineStr">
        <is>
          <t>发起者：操作员
接收者：地市后台</t>
        </is>
      </c>
      <c r="F176" s="54" t="inlineStr">
        <is>
          <t>用户触发</t>
        </is>
      </c>
      <c r="G176" s="54" t="inlineStr">
        <is>
          <t>验证下单</t>
        </is>
      </c>
      <c r="H176" s="55" t="inlineStr">
        <is>
          <t>用户输入验证码并点击确认提交</t>
        </is>
      </c>
      <c r="I176" s="54" t="inlineStr">
        <is>
          <t>E</t>
        </is>
      </c>
      <c r="J176" s="55" t="inlineStr">
        <is>
          <t>订单验证请求</t>
        </is>
      </c>
      <c r="K176" s="55" t="inlineStr">
        <is>
          <t>订单ID、验证码、手机号码</t>
        </is>
      </c>
      <c r="L176" s="54" t="inlineStr">
        <is>
          <t>新增</t>
        </is>
      </c>
      <c r="M176" s="56">
        <f>IF(L176="新增",1,IF(L176="复用",1/3,0))</f>
        <v/>
      </c>
    </row>
    <row r="177" ht="54" customHeight="1">
      <c r="A177" s="57" t="n"/>
      <c r="B177" s="57" t="n"/>
      <c r="C177" s="57" t="n"/>
      <c r="D177" s="57" t="n"/>
      <c r="E177" s="57" t="n"/>
      <c r="F177" s="57" t="n"/>
      <c r="G177" s="57" t="n"/>
      <c r="H177" s="55" t="inlineStr">
        <is>
          <t>系统从数据库读取存储的验证码记录进行校验</t>
        </is>
      </c>
      <c r="I177" s="54" t="inlineStr">
        <is>
          <t>R</t>
        </is>
      </c>
      <c r="J177" s="55" t="inlineStr">
        <is>
          <t>验证码记录</t>
        </is>
      </c>
      <c r="K177" s="55" t="inlineStr">
        <is>
          <t>手机号码、验证码、过期时间</t>
        </is>
      </c>
      <c r="L177" s="54" t="inlineStr">
        <is>
          <t>新增</t>
        </is>
      </c>
      <c r="M177" s="56">
        <f>IF(L177="新增",1,IF(L177="复用",1/3,0))</f>
        <v/>
      </c>
    </row>
    <row r="178" ht="54" customHeight="1">
      <c r="A178" s="57" t="n"/>
      <c r="B178" s="57" t="n"/>
      <c r="C178" s="57" t="n"/>
      <c r="D178" s="57" t="n"/>
      <c r="E178" s="57" t="n"/>
      <c r="F178" s="57" t="n"/>
      <c r="G178" s="57" t="n"/>
      <c r="H178" s="55" t="inlineStr">
        <is>
          <t>系统更新订单状态为已完成并写入数据库</t>
        </is>
      </c>
      <c r="I178" s="54" t="inlineStr">
        <is>
          <t>W</t>
        </is>
      </c>
      <c r="J178" s="55" t="inlineStr">
        <is>
          <t>订单表</t>
        </is>
      </c>
      <c r="K178" s="55" t="inlineStr">
        <is>
          <t>订单ID、订单状态、支付时间、完成时间</t>
        </is>
      </c>
      <c r="L178" s="54" t="inlineStr">
        <is>
          <t>新增</t>
        </is>
      </c>
      <c r="M178" s="56">
        <f>IF(L178="新增",1,IF(L178="复用",1/3,0))</f>
        <v/>
      </c>
    </row>
    <row r="179" ht="54" customHeight="1">
      <c r="A179" s="57" t="n"/>
      <c r="B179" s="58" t="n"/>
      <c r="C179" s="58" t="n"/>
      <c r="D179" s="58" t="n"/>
      <c r="E179" s="58" t="n"/>
      <c r="F179" s="58" t="n"/>
      <c r="G179" s="58" t="n"/>
      <c r="H179" s="55" t="inlineStr">
        <is>
          <t>系统返回验证成功的结果给用户</t>
        </is>
      </c>
      <c r="I179" s="54" t="inlineStr">
        <is>
          <t>X</t>
        </is>
      </c>
      <c r="J179" s="55" t="inlineStr">
        <is>
          <t>验证响应</t>
        </is>
      </c>
      <c r="K179" s="55" t="inlineStr">
        <is>
          <t>订单号、验证结果、状态码</t>
        </is>
      </c>
      <c r="L179" s="54" t="inlineStr">
        <is>
          <t>新增</t>
        </is>
      </c>
      <c r="M179" s="56">
        <f>IF(L179="新增",1,IF(L179="复用",1/3,0))</f>
        <v/>
      </c>
    </row>
    <row r="180" ht="54" customHeight="1">
      <c r="A180" s="57" t="n"/>
      <c r="B180" s="54" t="inlineStr">
        <is>
          <t>小福包订单</t>
        </is>
      </c>
      <c r="C180" s="54" t="inlineStr">
        <is>
          <t>订单详情</t>
        </is>
      </c>
      <c r="D180" s="54" t="inlineStr">
        <is>
          <t>查看订单详情</t>
        </is>
      </c>
      <c r="E180" s="54" t="inlineStr">
        <is>
          <t>发起者：操作员
接收者：地市后台</t>
        </is>
      </c>
      <c r="F180" s="54" t="inlineStr">
        <is>
          <t>用户触发</t>
        </is>
      </c>
      <c r="G180" s="54" t="inlineStr">
        <is>
          <t>查看订单详情</t>
        </is>
      </c>
      <c r="H180" s="55" t="inlineStr">
        <is>
          <t>点击订单标签进入订单详情列表</t>
        </is>
      </c>
      <c r="I180" s="54" t="inlineStr">
        <is>
          <t>E</t>
        </is>
      </c>
      <c r="J180" s="55" t="inlineStr">
        <is>
          <t>订单列表请求</t>
        </is>
      </c>
      <c r="K180" s="55" t="inlineStr">
        <is>
          <t>用户标识、分页参数、查询条件</t>
        </is>
      </c>
      <c r="L180" s="54" t="inlineStr">
        <is>
          <t>新增</t>
        </is>
      </c>
      <c r="M180" s="56">
        <f>IF(L180="新增",1,IF(L180="复用",1/3,0))</f>
        <v/>
      </c>
    </row>
    <row r="181" ht="54" customHeight="1">
      <c r="A181" s="57" t="n"/>
      <c r="B181" s="57" t="n"/>
      <c r="C181" s="57" t="n"/>
      <c r="D181" s="57" t="n"/>
      <c r="E181" s="57" t="n"/>
      <c r="F181" s="57" t="n"/>
      <c r="G181" s="57" t="n"/>
      <c r="H181" s="55" t="inlineStr">
        <is>
          <t>查询小福包订单数据</t>
        </is>
      </c>
      <c r="I181" s="54" t="inlineStr">
        <is>
          <t>R</t>
        </is>
      </c>
      <c r="J181" s="55" t="inlineStr">
        <is>
          <t>小福包订单数据</t>
        </is>
      </c>
      <c r="K181" s="55" t="inlineStr">
        <is>
          <t>订单编码、订单名称、订单状态、办理号码、业务详情、下单时间</t>
        </is>
      </c>
      <c r="L181" s="54" t="inlineStr">
        <is>
          <t>新增</t>
        </is>
      </c>
      <c r="M181" s="56">
        <f>IF(L181="新增",1,IF(L181="复用",1/3,0))</f>
        <v/>
      </c>
    </row>
    <row r="182" ht="54" customHeight="1">
      <c r="A182" s="57" t="n"/>
      <c r="B182" s="57" t="n"/>
      <c r="C182" s="57" t="n"/>
      <c r="D182" s="58" t="n"/>
      <c r="E182" s="58" t="n"/>
      <c r="F182" s="58" t="n"/>
      <c r="G182" s="58" t="n"/>
      <c r="H182" s="55" t="inlineStr">
        <is>
          <t>展示小福包订单详情列表</t>
        </is>
      </c>
      <c r="I182" s="54" t="inlineStr">
        <is>
          <t>X</t>
        </is>
      </c>
      <c r="J182" s="55" t="inlineStr">
        <is>
          <t>订单列表展示</t>
        </is>
      </c>
      <c r="K182" s="55" t="inlineStr">
        <is>
          <t>订单状态、订单名称、办理号码、业务详情、订单编码、下单时间</t>
        </is>
      </c>
      <c r="L182" s="54" t="inlineStr">
        <is>
          <t>新增</t>
        </is>
      </c>
      <c r="M182" s="56">
        <f>IF(L182="新增",1,IF(L182="复用",1/3,0))</f>
        <v/>
      </c>
    </row>
    <row r="183" ht="54" customHeight="1">
      <c r="A183" s="57" t="n"/>
      <c r="B183" s="57" t="n"/>
      <c r="C183" s="57" t="n"/>
      <c r="D183" s="54" t="inlineStr">
        <is>
          <t>查看装维进度</t>
        </is>
      </c>
      <c r="E183" s="54" t="inlineStr">
        <is>
          <t>发起者：操作员
接收者：地市后台</t>
        </is>
      </c>
      <c r="F183" s="54" t="inlineStr">
        <is>
          <t>用户触发</t>
        </is>
      </c>
      <c r="G183" s="54" t="inlineStr">
        <is>
          <t>查看装维进度</t>
        </is>
      </c>
      <c r="H183" s="55" t="inlineStr">
        <is>
          <t>点击装维进度切换按钮，提交查看请求</t>
        </is>
      </c>
      <c r="I183" s="54" t="inlineStr">
        <is>
          <t>E</t>
        </is>
      </c>
      <c r="J183" s="55" t="inlineStr">
        <is>
          <t>装维进度请求</t>
        </is>
      </c>
      <c r="K183" s="55" t="inlineStr">
        <is>
          <t>订单编号、用户标识、请求时间</t>
        </is>
      </c>
      <c r="L183" s="54" t="inlineStr">
        <is>
          <t>新增</t>
        </is>
      </c>
      <c r="M183" s="56">
        <f>IF(L183="新增",1,IF(L183="复用",1/3,0))</f>
        <v/>
      </c>
    </row>
    <row r="184" ht="54" customHeight="1">
      <c r="A184" s="57" t="n"/>
      <c r="B184" s="57" t="n"/>
      <c r="C184" s="57" t="n"/>
      <c r="D184" s="57" t="n"/>
      <c r="E184" s="57" t="n"/>
      <c r="F184" s="57" t="n"/>
      <c r="G184" s="57" t="n"/>
      <c r="H184" s="55" t="inlineStr">
        <is>
          <t>从数据库读取装维进度信息</t>
        </is>
      </c>
      <c r="I184" s="54" t="inlineStr">
        <is>
          <t>R</t>
        </is>
      </c>
      <c r="J184" s="55" t="inlineStr">
        <is>
          <t>装维进度数据</t>
        </is>
      </c>
      <c r="K184" s="55" t="inlineStr">
        <is>
          <t>预约上门时间、装维接单状态、网络激活状态、业务受理状态、当前步骤编号</t>
        </is>
      </c>
      <c r="L184" s="54" t="inlineStr">
        <is>
          <t>新增</t>
        </is>
      </c>
      <c r="M184" s="56">
        <f>IF(L184="新增",1,IF(L184="复用",1/3,0))</f>
        <v/>
      </c>
    </row>
    <row r="185" ht="54" customHeight="1">
      <c r="A185" s="57" t="n"/>
      <c r="B185" s="57" t="n"/>
      <c r="C185" s="57" t="n"/>
      <c r="D185" s="58" t="n"/>
      <c r="E185" s="58" t="n"/>
      <c r="F185" s="58" t="n"/>
      <c r="G185" s="58" t="n"/>
      <c r="H185" s="55" t="inlineStr">
        <is>
          <t>返回装维进度页面展示给用户</t>
        </is>
      </c>
      <c r="I185" s="54" t="inlineStr">
        <is>
          <t>X</t>
        </is>
      </c>
      <c r="J185" s="55" t="inlineStr">
        <is>
          <t>装维进度展示</t>
        </is>
      </c>
      <c r="K185" s="55" t="inlineStr">
        <is>
          <t>进度步骤列表、各步骤状态、更新时间</t>
        </is>
      </c>
      <c r="L185" s="54" t="inlineStr">
        <is>
          <t>新增</t>
        </is>
      </c>
      <c r="M185" s="56">
        <f>IF(L185="新增",1,IF(L185="复用",1/3,0))</f>
        <v/>
      </c>
    </row>
    <row r="186" ht="54" customHeight="1">
      <c r="A186" s="57" t="n"/>
      <c r="B186" s="57" t="n"/>
      <c r="C186" s="57" t="n"/>
      <c r="D186" s="54" t="inlineStr">
        <is>
          <t>查看已受理订单</t>
        </is>
      </c>
      <c r="E186" s="54" t="inlineStr">
        <is>
          <t>发起者：操作员
接收者：地市后台</t>
        </is>
      </c>
      <c r="F186" s="54" t="inlineStr">
        <is>
          <t>用户触发</t>
        </is>
      </c>
      <c r="G186" s="54" t="inlineStr">
        <is>
          <t>已受理订单列表</t>
        </is>
      </c>
      <c r="H186" s="55" t="inlineStr">
        <is>
          <t>点击进入已受理订单列表页面</t>
        </is>
      </c>
      <c r="I186" s="54" t="inlineStr">
        <is>
          <t>E</t>
        </is>
      </c>
      <c r="J186" s="55" t="inlineStr">
        <is>
          <t>订单列表请求</t>
        </is>
      </c>
      <c r="K186" s="55" t="inlineStr">
        <is>
          <t>用户标识、分页参数、查询条件</t>
        </is>
      </c>
      <c r="L186" s="54" t="inlineStr">
        <is>
          <t>新增</t>
        </is>
      </c>
      <c r="M186" s="56">
        <f>IF(L186="新增",1,IF(L186="复用",1/3,0))</f>
        <v/>
      </c>
    </row>
    <row r="187" ht="54" customHeight="1">
      <c r="A187" s="57" t="n"/>
      <c r="B187" s="57" t="n"/>
      <c r="C187" s="57" t="n"/>
      <c r="D187" s="57" t="n"/>
      <c r="E187" s="57" t="n"/>
      <c r="F187" s="57" t="n"/>
      <c r="G187" s="57" t="n"/>
      <c r="H187" s="55" t="inlineStr">
        <is>
          <t>读取已受理订单列表数据</t>
        </is>
      </c>
      <c r="I187" s="54" t="inlineStr">
        <is>
          <t>R</t>
        </is>
      </c>
      <c r="J187" s="55" t="inlineStr">
        <is>
          <t>已受理订单表</t>
        </is>
      </c>
      <c r="K187" s="55" t="inlineStr">
        <is>
          <t>订单编号、产品名称、订单状态、受理时间、客户号码</t>
        </is>
      </c>
      <c r="L187" s="54" t="inlineStr">
        <is>
          <t>新增</t>
        </is>
      </c>
      <c r="M187" s="56">
        <f>IF(L187="新增",1,IF(L187="复用",1/3,0))</f>
        <v/>
      </c>
    </row>
    <row r="188" ht="54" customHeight="1">
      <c r="A188" s="57" t="n"/>
      <c r="B188" s="57" t="n"/>
      <c r="C188" s="57" t="n"/>
      <c r="D188" s="57" t="n"/>
      <c r="E188" s="58" t="n"/>
      <c r="F188" s="58" t="n"/>
      <c r="G188" s="58" t="n"/>
      <c r="H188" s="55" t="inlineStr">
        <is>
          <t>展示已受理订单列表</t>
        </is>
      </c>
      <c r="I188" s="54" t="inlineStr">
        <is>
          <t>X</t>
        </is>
      </c>
      <c r="J188" s="55" t="inlineStr">
        <is>
          <t>订单列表响应</t>
        </is>
      </c>
      <c r="K188" s="55" t="inlineStr">
        <is>
          <t>订单编号、产品名称、订单状态、受理时间、列表排序</t>
        </is>
      </c>
      <c r="L188" s="54" t="inlineStr">
        <is>
          <t>新增</t>
        </is>
      </c>
      <c r="M188" s="56">
        <f>IF(L188="新增",1,IF(L188="复用",1/3,0))</f>
        <v/>
      </c>
    </row>
    <row r="189" ht="54" customHeight="1">
      <c r="A189" s="57" t="n"/>
      <c r="B189" s="57" t="n"/>
      <c r="C189" s="57" t="n"/>
      <c r="D189" s="57" t="n"/>
      <c r="E189" s="54" t="inlineStr">
        <is>
          <t>发起者：操作员
接收者：地市后台</t>
        </is>
      </c>
      <c r="F189" s="54" t="inlineStr">
        <is>
          <t>用户触发</t>
        </is>
      </c>
      <c r="G189" s="54" t="inlineStr">
        <is>
          <t>已受理订单详情</t>
        </is>
      </c>
      <c r="H189" s="55" t="inlineStr">
        <is>
          <t>点击指定订单查看详情</t>
        </is>
      </c>
      <c r="I189" s="54" t="inlineStr">
        <is>
          <t>E</t>
        </is>
      </c>
      <c r="J189" s="55" t="inlineStr">
        <is>
          <t>订单详情请求</t>
        </is>
      </c>
      <c r="K189" s="55" t="inlineStr">
        <is>
          <t>订单编号、用户标识、请求来源</t>
        </is>
      </c>
      <c r="L189" s="54" t="inlineStr">
        <is>
          <t>新增</t>
        </is>
      </c>
      <c r="M189" s="56">
        <f>IF(L189="新增",1,IF(L189="复用",1/3,0))</f>
        <v/>
      </c>
    </row>
    <row r="190" ht="54" customHeight="1">
      <c r="A190" s="57" t="n"/>
      <c r="B190" s="57" t="n"/>
      <c r="C190" s="57" t="n"/>
      <c r="D190" s="57" t="n"/>
      <c r="E190" s="57" t="n"/>
      <c r="F190" s="57" t="n"/>
      <c r="G190" s="57" t="n"/>
      <c r="H190" s="55" t="inlineStr">
        <is>
          <t>读取订单详情数据</t>
        </is>
      </c>
      <c r="I190" s="54" t="inlineStr">
        <is>
          <t>R</t>
        </is>
      </c>
      <c r="J190" s="55" t="inlineStr">
        <is>
          <t>订单详情表</t>
        </is>
      </c>
      <c r="K190" s="55" t="inlineStr">
        <is>
          <t>订单编号、产品名称、订单状态、子业务受理信息、宽带受理信息、受理时间</t>
        </is>
      </c>
      <c r="L190" s="54" t="inlineStr">
        <is>
          <t>新增</t>
        </is>
      </c>
      <c r="M190" s="56">
        <f>IF(L190="新增",1,IF(L190="复用",1/3,0))</f>
        <v/>
      </c>
    </row>
    <row r="191" ht="54" customHeight="1">
      <c r="A191" s="58" t="n"/>
      <c r="B191" s="58" t="n"/>
      <c r="C191" s="58" t="n"/>
      <c r="D191" s="58" t="n"/>
      <c r="E191" s="58" t="n"/>
      <c r="F191" s="58" t="n"/>
      <c r="G191" s="58" t="n"/>
      <c r="H191" s="55" t="inlineStr">
        <is>
          <t>展示订单详情页面</t>
        </is>
      </c>
      <c r="I191" s="54" t="inlineStr">
        <is>
          <t>X</t>
        </is>
      </c>
      <c r="J191" s="55" t="inlineStr">
        <is>
          <t>订单详情响应</t>
        </is>
      </c>
      <c r="K191" s="55" t="inlineStr">
        <is>
          <t>产品名称、订单状态、子业务受理信息、宽带受理信息、页面模块布局</t>
        </is>
      </c>
      <c r="L191" s="54" t="inlineStr">
        <is>
          <t>新增</t>
        </is>
      </c>
      <c r="M191" s="56">
        <f>IF(L191="新增",1,IF(L191="复用",1/3,0))</f>
        <v/>
      </c>
    </row>
    <row r="192">
      <c r="A192" s="46" t="inlineStr">
        <is>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is>
      </c>
    </row>
    <row r="193"/>
  </sheetData>
  <mergeCells count="271">
    <mergeCell ref="L2:M2"/>
    <mergeCell ref="F44:F45"/>
    <mergeCell ref="D53:D55"/>
    <mergeCell ref="F118:F119"/>
    <mergeCell ref="E8:E9"/>
    <mergeCell ref="D180:D182"/>
    <mergeCell ref="F133:F134"/>
    <mergeCell ref="F138:F142"/>
    <mergeCell ref="F180:F182"/>
    <mergeCell ref="L3:L4"/>
    <mergeCell ref="G8:G9"/>
    <mergeCell ref="D130:D132"/>
    <mergeCell ref="F3:F4"/>
    <mergeCell ref="E10:E11"/>
    <mergeCell ref="E120:E124"/>
    <mergeCell ref="G79:G81"/>
    <mergeCell ref="E159:E161"/>
    <mergeCell ref="G10:G11"/>
    <mergeCell ref="E97:E99"/>
    <mergeCell ref="C138:C179"/>
    <mergeCell ref="F30:F31"/>
    <mergeCell ref="G88:G90"/>
    <mergeCell ref="E106:E108"/>
    <mergeCell ref="G153:G155"/>
    <mergeCell ref="G159:G161"/>
    <mergeCell ref="E171:E172"/>
    <mergeCell ref="E65:E66"/>
    <mergeCell ref="G106:G108"/>
    <mergeCell ref="F26:F27"/>
    <mergeCell ref="E16:E18"/>
    <mergeCell ref="G65:G66"/>
    <mergeCell ref="G3:G4"/>
    <mergeCell ref="D151:D152"/>
    <mergeCell ref="F42:F43"/>
    <mergeCell ref="I3:I4"/>
    <mergeCell ref="G16:G18"/>
    <mergeCell ref="C6:C52"/>
    <mergeCell ref="D94:D96"/>
    <mergeCell ref="G173:G175"/>
    <mergeCell ref="F103:F105"/>
    <mergeCell ref="D173:D179"/>
    <mergeCell ref="F168:F170"/>
    <mergeCell ref="G120:G124"/>
    <mergeCell ref="G67:G69"/>
    <mergeCell ref="G51:G52"/>
    <mergeCell ref="F28:F29"/>
    <mergeCell ref="E82:E84"/>
    <mergeCell ref="G40:G41"/>
    <mergeCell ref="F59:F61"/>
    <mergeCell ref="A6:A191"/>
    <mergeCell ref="G82:G84"/>
    <mergeCell ref="E138:E142"/>
    <mergeCell ref="G44:G45"/>
    <mergeCell ref="G22:G23"/>
    <mergeCell ref="E59:E61"/>
    <mergeCell ref="F79:F81"/>
    <mergeCell ref="G53:G55"/>
    <mergeCell ref="E12:E13"/>
    <mergeCell ref="E143:E145"/>
    <mergeCell ref="F153:F155"/>
    <mergeCell ref="G12:G13"/>
    <mergeCell ref="C115:C119"/>
    <mergeCell ref="F34:F35"/>
    <mergeCell ref="F176:F179"/>
    <mergeCell ref="G36:G37"/>
    <mergeCell ref="E14:E15"/>
    <mergeCell ref="F115:F117"/>
    <mergeCell ref="F40:F41"/>
    <mergeCell ref="D56:D58"/>
    <mergeCell ref="F130:F132"/>
    <mergeCell ref="G70:G71"/>
    <mergeCell ref="D166:D172"/>
    <mergeCell ref="F36:F37"/>
    <mergeCell ref="G151:G152"/>
    <mergeCell ref="F146:F147"/>
    <mergeCell ref="G94:G96"/>
    <mergeCell ref="E125:E129"/>
    <mergeCell ref="G135:G137"/>
    <mergeCell ref="E62:E64"/>
    <mergeCell ref="D148:D150"/>
    <mergeCell ref="E38:E39"/>
    <mergeCell ref="F148:F150"/>
    <mergeCell ref="F75:F76"/>
    <mergeCell ref="G56:G58"/>
    <mergeCell ref="E176:E179"/>
    <mergeCell ref="F22:F23"/>
    <mergeCell ref="E72:E74"/>
    <mergeCell ref="D186:D191"/>
    <mergeCell ref="E112:E114"/>
    <mergeCell ref="G72:G74"/>
    <mergeCell ref="A192:M193"/>
    <mergeCell ref="E46:E47"/>
    <mergeCell ref="D85:D87"/>
    <mergeCell ref="F19:F21"/>
    <mergeCell ref="E40:E41"/>
    <mergeCell ref="D120:D129"/>
    <mergeCell ref="F156:F158"/>
    <mergeCell ref="B115:B119"/>
    <mergeCell ref="D100:D102"/>
    <mergeCell ref="E48:E50"/>
    <mergeCell ref="D115:D119"/>
    <mergeCell ref="G48:G50"/>
    <mergeCell ref="D109:D111"/>
    <mergeCell ref="C180:C191"/>
    <mergeCell ref="D183:D185"/>
    <mergeCell ref="F143:F145"/>
    <mergeCell ref="F183:F185"/>
    <mergeCell ref="F46:F47"/>
    <mergeCell ref="E156:E158"/>
    <mergeCell ref="E26:E27"/>
    <mergeCell ref="E79:E81"/>
    <mergeCell ref="F189:F191"/>
    <mergeCell ref="G26:G27"/>
    <mergeCell ref="E88:E90"/>
    <mergeCell ref="E146:E147"/>
    <mergeCell ref="E153:E155"/>
    <mergeCell ref="E180:E182"/>
    <mergeCell ref="K3:K4"/>
    <mergeCell ref="F166:F167"/>
    <mergeCell ref="G75:G76"/>
    <mergeCell ref="D135:D137"/>
    <mergeCell ref="D48:D50"/>
    <mergeCell ref="G156:G158"/>
    <mergeCell ref="E3:E4"/>
    <mergeCell ref="F135:F137"/>
    <mergeCell ref="E19:E21"/>
    <mergeCell ref="F56:F58"/>
    <mergeCell ref="G19:G21"/>
    <mergeCell ref="E173:E175"/>
    <mergeCell ref="G77:G78"/>
    <mergeCell ref="G189:G191"/>
    <mergeCell ref="D103:D105"/>
    <mergeCell ref="F10:F11"/>
    <mergeCell ref="D97:D99"/>
    <mergeCell ref="D112:D114"/>
    <mergeCell ref="F24:F25"/>
    <mergeCell ref="F97:F99"/>
    <mergeCell ref="D106:D108"/>
    <mergeCell ref="F159:F161"/>
    <mergeCell ref="F106:F108"/>
    <mergeCell ref="F65:F66"/>
    <mergeCell ref="F162:F165"/>
    <mergeCell ref="E42:E43"/>
    <mergeCell ref="E51:E52"/>
    <mergeCell ref="G42:G43"/>
    <mergeCell ref="E85:E87"/>
    <mergeCell ref="G38:G39"/>
    <mergeCell ref="E168:E170"/>
    <mergeCell ref="E183:E185"/>
    <mergeCell ref="G59:G61"/>
    <mergeCell ref="F120:F124"/>
    <mergeCell ref="G85:G87"/>
    <mergeCell ref="G168:G170"/>
    <mergeCell ref="E44:E45"/>
    <mergeCell ref="F67:F69"/>
    <mergeCell ref="E100:E102"/>
    <mergeCell ref="E118:E119"/>
    <mergeCell ref="G166:G167"/>
    <mergeCell ref="E53:E55"/>
    <mergeCell ref="E109:E111"/>
    <mergeCell ref="F8:F9"/>
    <mergeCell ref="F51:F52"/>
    <mergeCell ref="G100:G102"/>
    <mergeCell ref="E28:E29"/>
    <mergeCell ref="G109:G111"/>
    <mergeCell ref="M3:M4"/>
    <mergeCell ref="D82:D84"/>
    <mergeCell ref="D153:D155"/>
    <mergeCell ref="F82:F84"/>
    <mergeCell ref="E115:E117"/>
    <mergeCell ref="G6:G7"/>
    <mergeCell ref="G28:G29"/>
    <mergeCell ref="G138:G142"/>
    <mergeCell ref="G24:G25"/>
    <mergeCell ref="D138:D142"/>
    <mergeCell ref="E30:E31"/>
    <mergeCell ref="B180:B191"/>
    <mergeCell ref="E70:E71"/>
    <mergeCell ref="F53:F55"/>
    <mergeCell ref="A1:M1"/>
    <mergeCell ref="E32:E33"/>
    <mergeCell ref="A2:E2"/>
    <mergeCell ref="G30:G31"/>
    <mergeCell ref="C82:C114"/>
    <mergeCell ref="F16:F18"/>
    <mergeCell ref="H3:H4"/>
    <mergeCell ref="D156:D161"/>
    <mergeCell ref="J3:J4"/>
    <mergeCell ref="E162:E165"/>
    <mergeCell ref="F173:F175"/>
    <mergeCell ref="D133:D134"/>
    <mergeCell ref="E94:E96"/>
    <mergeCell ref="E186:E188"/>
    <mergeCell ref="F14:F15"/>
    <mergeCell ref="G97:G99"/>
    <mergeCell ref="G186:G188"/>
    <mergeCell ref="D91:D93"/>
    <mergeCell ref="F151:F152"/>
    <mergeCell ref="F91:F93"/>
    <mergeCell ref="B120:B179"/>
    <mergeCell ref="G125:G129"/>
    <mergeCell ref="F100:F102"/>
    <mergeCell ref="F94:F96"/>
    <mergeCell ref="B6:B114"/>
    <mergeCell ref="F109:F111"/>
    <mergeCell ref="F85:F87"/>
    <mergeCell ref="D6:D7"/>
    <mergeCell ref="F6:F7"/>
    <mergeCell ref="E151:E152"/>
    <mergeCell ref="D32:D47"/>
    <mergeCell ref="F125:F129"/>
    <mergeCell ref="F62:F64"/>
    <mergeCell ref="E148:E150"/>
    <mergeCell ref="G148:G150"/>
    <mergeCell ref="F12:F13"/>
    <mergeCell ref="F72:F74"/>
    <mergeCell ref="F70:F71"/>
    <mergeCell ref="E34:E35"/>
    <mergeCell ref="F2:K2"/>
    <mergeCell ref="F186:F188"/>
    <mergeCell ref="G34:G35"/>
    <mergeCell ref="G176:G179"/>
    <mergeCell ref="C120:C137"/>
    <mergeCell ref="F32:F33"/>
    <mergeCell ref="F48:F50"/>
    <mergeCell ref="D143:D147"/>
    <mergeCell ref="E56:E58"/>
    <mergeCell ref="E91:E93"/>
    <mergeCell ref="G115:G117"/>
    <mergeCell ref="G171:G172"/>
    <mergeCell ref="G91:G93"/>
    <mergeCell ref="D8:D23"/>
    <mergeCell ref="A3:A4"/>
    <mergeCell ref="G143:G145"/>
    <mergeCell ref="G183:G185"/>
    <mergeCell ref="E6:E7"/>
    <mergeCell ref="F112:F114"/>
    <mergeCell ref="E77:E78"/>
    <mergeCell ref="E133:E134"/>
    <mergeCell ref="E189:E191"/>
    <mergeCell ref="G146:G147"/>
    <mergeCell ref="G133:G134"/>
    <mergeCell ref="D59:D81"/>
    <mergeCell ref="D88:D90"/>
    <mergeCell ref="G14:G15"/>
    <mergeCell ref="G162:G165"/>
    <mergeCell ref="F88:F90"/>
    <mergeCell ref="C53:C81"/>
    <mergeCell ref="E166:E167"/>
    <mergeCell ref="E130:E132"/>
    <mergeCell ref="G130:G132"/>
    <mergeCell ref="D162:D165"/>
    <mergeCell ref="E75:E76"/>
    <mergeCell ref="E135:E137"/>
    <mergeCell ref="F38:F39"/>
    <mergeCell ref="E36:E37"/>
    <mergeCell ref="G180:G182"/>
    <mergeCell ref="F77:F78"/>
    <mergeCell ref="E67:E69"/>
    <mergeCell ref="G32:G33"/>
    <mergeCell ref="G118:G119"/>
    <mergeCell ref="D51:D52"/>
    <mergeCell ref="E103:E105"/>
    <mergeCell ref="G103:G105"/>
    <mergeCell ref="E22:E23"/>
    <mergeCell ref="G112:G114"/>
    <mergeCell ref="G46:G47"/>
    <mergeCell ref="D24:D31"/>
    <mergeCell ref="E24:E25"/>
    <mergeCell ref="G62:G64"/>
    <mergeCell ref="F171:F172"/>
  </mergeCells>
  <conditionalFormatting sqref="K6:K50">
    <cfRule type="duplicateValues" priority="1" dxfId="0"/>
  </conditionalFormatting>
  <conditionalFormatting sqref="J6:J50">
    <cfRule type="duplicateValues" priority="2" dxfId="0"/>
  </conditionalFormatting>
  <dataValidations count="3">
    <dataValidation sqref="K1:K17 K18:K19 K20:K25 K26:K29 K30:K50 K51:K74" showDropDown="1" showInputMessage="0" showErrorMessage="1" allowBlank="1" errorTitle="" error="当前输入的内容，与本区域的其他单元格内容重复。" type="custom" errorStyle="warning">
      <formula1>COUNTIF($K:$K,K1)&lt;2</formula1>
    </dataValidation>
    <dataValidation sqref="J1:J17 J18:J19 J20:J25 J26:J29 J30:J50 J51:J74" showDropDown="1" showInputMessage="0" showErrorMessage="1" allowBlank="1" errorTitle="" error="当前输入的内容，与本区域的其他单元格内容重复。" type="custom" errorStyle="warning">
      <formula1>COUNTIF($J:$J,J1)&lt;2</formula1>
    </dataValidation>
    <dataValidation sqref="L6:L191" showDropDown="0" showInputMessage="0" showErrorMessage="0" allowBlank="1" type="list">
      <formula1>"新增,复用,利旧"</formula1>
    </dataValidation>
  </dataValidations>
  <pageMargins left="0.69930556" right="0.69930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2026-05-02T13:06:02Z</dcterms:created>
  <dcterms:modified xmlns:dcterms="http://purl.org/dc/terms/" xmlns:xsi="http://www.w3.org/2001/XMLSchema-instance" xsi:type="dcterms:W3CDTF">2026-05-02T13:06:02Z</dcterms:modified>
</cp:coreProperties>
</file>