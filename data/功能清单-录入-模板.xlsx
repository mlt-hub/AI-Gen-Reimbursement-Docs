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3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<sst xmlns="http://schemas.openxmlformats.org/spreadsheetml/2006/main" count="366" uniqueCount="278">
  <si>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</si>
  <si>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</si>
  <si>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</si>
  <si>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</si>
  <si>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</si>
  <si>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</si>
  <si>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</si>
  <si>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</si>
  <si>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</si>
  <si>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</si>
  <si>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</si>
  <si>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</si>
  <si>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</si>
  <si>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</si>
  <si>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</si>
  <si>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#AI生成#根据${工单内容}，生成总体描述，要求200~300字</t>
  </si>
  <si>
    <t>建设目标</t>
  </si>
  <si>
    <t>#AI生成#根据${工单内容}，生成建设目标，要求200~300字</t>
  </si>
  <si>
    <t>建设必要性</t>
  </si>
  <si>
    <t>#AI生成#根据${工单内容}，生成建设必要性，要求200~300字</t>
  </si>
  <si>
    <t>系统概况</t>
  </si>
  <si>
    <t>#AI生成#根据${工单内容}，生成系统概况，要求200~300字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</si>
  <si>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</si>
  <si>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</si>
  <si>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</si>
  <si>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</si>
  <si>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</si>
  <si>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</si>
  <si>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</si>
  <si>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</si>
  <si>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</si>
  <si>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</si>
  <si>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</si>
  <si>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</si>
  <si>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</si>
  <si>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</si>
  <si>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</si>
  <si>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</si>
  <si>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</si>
  <si>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</si>
  <si>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</si>
  <si>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</si>
  <si>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</si>
  <si>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</si>
  <si>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</si>
  <si>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</si>
  <si>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</si>
  <si>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</si>
  <si>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</si>
  <si>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</si>
  <si>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</si>
  <si>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</si>
  <si>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</si>
  <si>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</si>
  <si>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</si>
  <si>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</si>
  <si>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</si>
  <si>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</si>
  <si>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</si>
  <si>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</si>
  <si>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</si>
  <si>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</si>
  <si>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</si>
  <si>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</si>
  <si>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</si>
  <si>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</si>
  <si>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</si>
  <si>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</si>
  <si>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</si>
  <si>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</si>
  <si>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</si>
  <si>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</si>
  <si>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</si>
  <si>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</si>
  <si>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</si>
  <si>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</si>
  <si>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</si>
  <si>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</si>
  <si>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</si>
  <si>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</si>
  <si>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</si>
  <si>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</si>
  <si>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</si>
  <si>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</si>
  <si>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</si>
  <si>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</si>
  <si>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</si>
  <si>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</si>
  <si>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</si>
  <si>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</si>
  <si>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</si>
  <si>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</si>
  <si>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</si>
  <si>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</si>
  <si>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</si>
  <si>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</si>
  <si>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</si>
  <si>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</si>
  <si>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</si>
  <si>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</si>
  <si>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</si>
  <si>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</si>
  <si>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</si>
  <si>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</si>
  <si>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</si>
  <si>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</si>
  <si>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</si>
  <si>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</si>
  <si>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</si>
  <si>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</si>
  <si>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</si>
  <si>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</si>
  <si>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</si>
  <si>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</si>
  <si>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</si>
  <si>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</si>
  <si>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</si>
  <si>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</si>
  <si>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</si>
  <si>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</si>
  <si>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</si>
  <si>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</si>
  <si>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</si>
  <si>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</si>
  <si>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</si>
  <si>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</si>
  <si>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</si>
  <si>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</si>
  <si>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</si>
  <si>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</si>
  <si>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</si>
  <si>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</si>
  <si>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</si>
  <si>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</si>
  <si>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</si>
  <si>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</si>
  <si>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</si>
  <si>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</si>
  <si>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</si>
  <si>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</si>
  <si>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</si>
  <si>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</si>
  <si>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</si>
  <si>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</si>
  <si>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</si>
  <si>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</si>
  <si>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</si>
  <si>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</si>
  <si>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</si>
  <si>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</si>
  <si>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</si>
  <si>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</si>
  <si>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</si>
  <si>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</si>
  <si>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</si>
  <si>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</si>
  <si>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</si>
  <si>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</si>
  <si>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</si>
  <si>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</si>
  <si>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</si>
  <si>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</si>
  <si>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</si>
  <si>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</si>
  <si>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</si>
  <si>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</si>
  <si>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</si>
  <si>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</si>
  <si>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</si>
  <si>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</si>
  <si>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</si>
  <si>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</si>
  <si>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</si>
  <si>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</si>
  <si>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</si>
  <si>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</si>
  <si>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</si>
  <si>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</si>
  <si>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</si>
  <si>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</si>
  <si>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</si>
  <si>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</si>
  <si>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</si>
  <si>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</si>
  <si>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</si>
  <si>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</si>
  <si>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</si>
  <si>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</si>
  <si>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</si>
  <si>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</si>
  <si>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</si>
  <si>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</si>
  <si>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</si>
  <si>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</si>
  <si>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3、闽市移需【202501】17658 号-关于构建垂直行业场景化营销的需求（和乐业）-FPA工作量评估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</si>
  <si>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</si>
  <si>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</si>
  <si>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</si>
  <si>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</si>
  <si>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计算依据归类判定原则列表</t>
  </si>
  <si>
    <t>EI:1)修改或增加界面的个数
EI:2)对ILF的插入、修改、删除操作的次数（无涉及画面的）
EI:3)从外系统接口获取数据；
EI:4)用户从IVR、短营、网营的每次输入
EO:1)输出的票据、报表、统计、文件、短信、彩信、邮件的个数
EO:2)IVR、短营、网营的调用外接口的反馈处理
EQ:1)提供查询界面输入并展示返回结果
EQ:2)配置每档套餐视为一个EQ
EQ:3)工作流的一个流程变化视为一个EQ
EQ:4)KPI计算与输出视为1个EQ
ILF:1)后台数据库变更（包括增加、删除以及对字段的变更）的表个数
ILF:2)计费处理用到的文件、内存表的个数
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</si>
  <si>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</si>
  <si>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</si>
  <si>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</si>
  <si>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</si>
  <si>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</si>
  <si>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</si>
  <si>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</si>
  <si>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</si>
  <si>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</si>
  <si>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</si>
  <si>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</si>
  <si>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</si>
  <si>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</si>
  <si>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</si>
  <si>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</si>
  <si>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</si>
  <si>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根据${三级模块}的全部内容，概括项目的主要功能模块，判定系统属于业务处理还是管理支撑类型。
按照以下示例的格式输出：
本项目主要完成功能参与垂直行业配置、行业人员认证、下单页面自定义配置、用户下单、订单查看等模块，属于业务处理。</t>
  </si>
  <si>
    <t>调整因子中的子系统名称</t>
  </si>
  <si>
    <t>${工单标题}</t>
  </si>
  <si>
    <t>调整因子中的可靠性描述</t>
  </si>
  <si>
    <t>#AI生成#
根据${三级模块整体功能描述}中的全部内容，提取其中涉及与可靠性方面的模块，生成一段可靠性需求描述，
要求包含：
1. 结合项目业务场景说明可靠性为何重要；
2. 数据备份和容灾要求；
3. 7×24小时不间断运行要求；
4. 模块更新不相互影响的要求
请参考以下示例风格：
结合业务场景说明可靠性重要性，提出具体的数据备份和容灾措施，明确运行时间和模块独立性要求。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</si>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</sst>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6"/>
  <sheetViews>
    <sheetView workbookViewId="0">
      <selection activeCell="B21" sqref="B21"/>
    </sheetView>
  </sheetViews>
  <sheetFormatPr defaultColWidth="8.61261261261261" defaultRowHeight="14.1" outlineLevelRow="5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52" customHeight="1" spans="1:2">
      <c r="A6" s="36" t="s">
        <v>4</v>
      </c>
      <c r="B6" s="37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21" sqref="B21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6</v>
      </c>
      <c r="B1" s="4" t="s">
        <v>7</v>
      </c>
    </row>
    <row r="2" ht="42" customHeight="1" spans="1:2">
      <c r="A2" s="14" t="s">
        <v>8</v>
      </c>
      <c r="B2" s="31" t="s">
        <v>9</v>
      </c>
    </row>
    <row r="3" ht="34" customHeight="1" spans="1:2">
      <c r="A3" s="14" t="s">
        <v>10</v>
      </c>
      <c r="B3" s="31" t="s">
        <v>11</v>
      </c>
    </row>
    <row r="4" ht="183.45" spans="1:2">
      <c r="A4" s="14" t="s">
        <v>12</v>
      </c>
      <c r="B4" s="25" t="s">
        <v>13</v>
      </c>
    </row>
    <row r="5" customFormat="1" ht="24" customHeight="1" spans="1:2">
      <c r="A5" s="17" t="s">
        <v>14</v>
      </c>
      <c r="B5" s="32" t="s">
        <v>15</v>
      </c>
    </row>
    <row r="6" customFormat="1" ht="24" customHeight="1" spans="1:2">
      <c r="A6" s="17" t="s">
        <v>16</v>
      </c>
      <c r="B6" s="32" t="s">
        <v>17</v>
      </c>
    </row>
    <row r="7" customFormat="1" ht="24" customHeight="1" spans="1:2">
      <c r="A7" s="17" t="s">
        <v>18</v>
      </c>
      <c r="B7" s="32" t="s">
        <v>19</v>
      </c>
    </row>
    <row r="8" customFormat="1" ht="24" customHeight="1" spans="1:2">
      <c r="A8" s="17" t="s">
        <v>20</v>
      </c>
      <c r="B8" s="32" t="s">
        <v>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workbookViewId="0">
      <pane ySplit="1" topLeftCell="A2" activePane="bottomLeft" state="frozen"/>
      <selection/>
      <selection pane="bottomLeft" activeCell="I1" sqref="I1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22</v>
      </c>
      <c r="B1" s="22" t="s">
        <v>23</v>
      </c>
      <c r="C1" s="22" t="s">
        <v>24</v>
      </c>
      <c r="D1" s="22" t="s">
        <v>25</v>
      </c>
      <c r="E1" s="22" t="s">
        <v>26</v>
      </c>
      <c r="F1" s="22" t="s">
        <v>27</v>
      </c>
      <c r="G1" s="22" t="s">
        <v>28</v>
      </c>
      <c r="H1" s="22" t="s">
        <v>29</v>
      </c>
      <c r="I1" s="22" t="s">
        <v>30</v>
      </c>
    </row>
    <row r="2" ht="32" customHeight="1" spans="1:9">
      <c r="A2" s="23" t="s">
        <v>31</v>
      </c>
      <c r="B2" s="24" t="s">
        <v>32</v>
      </c>
      <c r="C2" s="24" t="s">
        <v>33</v>
      </c>
      <c r="D2" s="24" t="s">
        <v>33</v>
      </c>
      <c r="E2" s="23" t="s">
        <v>34</v>
      </c>
      <c r="F2" s="24" t="s">
        <v>35</v>
      </c>
      <c r="G2" s="25" t="s">
        <v>36</v>
      </c>
      <c r="H2" s="24" t="s">
        <v>37</v>
      </c>
      <c r="I2" s="25" t="s">
        <v>38</v>
      </c>
    </row>
    <row r="3" ht="28.3" spans="1:9">
      <c r="A3" s="26"/>
      <c r="B3" s="24"/>
      <c r="C3" s="24"/>
      <c r="D3" s="24"/>
      <c r="E3" s="26"/>
      <c r="F3" s="24"/>
      <c r="G3" s="25" t="s">
        <v>39</v>
      </c>
      <c r="H3" s="24" t="s">
        <v>37</v>
      </c>
      <c r="I3" s="25" t="s">
        <v>40</v>
      </c>
    </row>
    <row r="4" ht="29" customHeight="1" spans="1:9">
      <c r="A4" s="26"/>
      <c r="B4" s="24"/>
      <c r="C4" s="24"/>
      <c r="D4" s="24"/>
      <c r="E4" s="26"/>
      <c r="F4" s="24"/>
      <c r="G4" s="25" t="s">
        <v>41</v>
      </c>
      <c r="H4" s="24" t="s">
        <v>37</v>
      </c>
      <c r="I4" s="25" t="s">
        <v>42</v>
      </c>
    </row>
    <row r="5" ht="34" customHeight="1" spans="1:9">
      <c r="A5" s="26"/>
      <c r="B5" s="24"/>
      <c r="C5" s="24"/>
      <c r="D5" s="24"/>
      <c r="E5" s="26"/>
      <c r="F5" s="24"/>
      <c r="G5" s="25" t="s">
        <v>43</v>
      </c>
      <c r="H5" s="24" t="s">
        <v>37</v>
      </c>
      <c r="I5" s="25" t="s">
        <v>44</v>
      </c>
    </row>
    <row r="6" ht="28.3" spans="1:9">
      <c r="A6" s="26"/>
      <c r="B6" s="24"/>
      <c r="C6" s="24"/>
      <c r="D6" s="24"/>
      <c r="E6" s="26"/>
      <c r="F6" s="24"/>
      <c r="G6" s="25" t="s">
        <v>45</v>
      </c>
      <c r="H6" s="24" t="s">
        <v>37</v>
      </c>
      <c r="I6" s="25" t="s">
        <v>46</v>
      </c>
    </row>
    <row r="7" ht="39" customHeight="1" spans="1:9">
      <c r="A7" s="26"/>
      <c r="B7" s="24"/>
      <c r="C7" s="24"/>
      <c r="D7" s="24"/>
      <c r="E7" s="26"/>
      <c r="F7" s="24"/>
      <c r="G7" s="25" t="s">
        <v>47</v>
      </c>
      <c r="H7" s="24" t="s">
        <v>37</v>
      </c>
      <c r="I7" s="25" t="s">
        <v>48</v>
      </c>
    </row>
    <row r="8" ht="14.15" spans="1:9">
      <c r="A8" s="26"/>
      <c r="B8" s="24"/>
      <c r="C8" s="24"/>
      <c r="D8" s="24"/>
      <c r="E8" s="27"/>
      <c r="F8" s="24"/>
      <c r="G8" s="25" t="s">
        <v>49</v>
      </c>
      <c r="H8" s="24" t="s">
        <v>37</v>
      </c>
      <c r="I8" s="25" t="s">
        <v>50</v>
      </c>
    </row>
    <row r="9" ht="47" customHeight="1" spans="1:9">
      <c r="A9" s="26"/>
      <c r="B9" s="24"/>
      <c r="C9" s="24"/>
      <c r="D9" s="24" t="s">
        <v>51</v>
      </c>
      <c r="E9" s="23" t="s">
        <v>34</v>
      </c>
      <c r="F9" s="24" t="s">
        <v>52</v>
      </c>
      <c r="G9" s="25" t="s">
        <v>53</v>
      </c>
      <c r="H9" s="24" t="s">
        <v>37</v>
      </c>
      <c r="I9" s="25" t="s">
        <v>54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55</v>
      </c>
      <c r="H10" s="24" t="s">
        <v>37</v>
      </c>
      <c r="I10" s="25" t="s">
        <v>56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57</v>
      </c>
      <c r="H11" s="24" t="s">
        <v>37</v>
      </c>
      <c r="I11" s="25" t="s">
        <v>58</v>
      </c>
    </row>
    <row r="12" ht="14.15" spans="1:9">
      <c r="A12" s="26"/>
      <c r="B12" s="24"/>
      <c r="C12" s="24"/>
      <c r="D12" s="24"/>
      <c r="E12" s="27"/>
      <c r="F12" s="24"/>
      <c r="G12" s="25" t="s">
        <v>59</v>
      </c>
      <c r="H12" s="24" t="s">
        <v>37</v>
      </c>
      <c r="I12" s="25" t="s">
        <v>60</v>
      </c>
    </row>
    <row r="13" ht="28.3" spans="1:9">
      <c r="A13" s="26"/>
      <c r="B13" s="24"/>
      <c r="C13" s="24" t="s">
        <v>61</v>
      </c>
      <c r="D13" s="24" t="s">
        <v>62</v>
      </c>
      <c r="E13" s="23" t="s">
        <v>34</v>
      </c>
      <c r="F13" s="24" t="s">
        <v>63</v>
      </c>
      <c r="G13" s="25" t="s">
        <v>64</v>
      </c>
      <c r="H13" s="24" t="s">
        <v>37</v>
      </c>
      <c r="I13" s="25" t="s">
        <v>65</v>
      </c>
    </row>
    <row r="14" ht="99" spans="1:9">
      <c r="A14" s="26"/>
      <c r="B14" s="24"/>
      <c r="C14" s="24"/>
      <c r="D14" s="24"/>
      <c r="E14" s="26"/>
      <c r="F14" s="24"/>
      <c r="G14" s="25" t="s">
        <v>66</v>
      </c>
      <c r="H14" s="24" t="s">
        <v>37</v>
      </c>
      <c r="I14" s="25" t="s">
        <v>67</v>
      </c>
    </row>
    <row r="15" ht="99" spans="1:9">
      <c r="A15" s="26"/>
      <c r="B15" s="24"/>
      <c r="C15" s="24"/>
      <c r="D15" s="24"/>
      <c r="E15" s="26"/>
      <c r="F15" s="24"/>
      <c r="G15" s="25" t="s">
        <v>68</v>
      </c>
      <c r="H15" s="24" t="s">
        <v>37</v>
      </c>
      <c r="I15" s="25" t="s">
        <v>69</v>
      </c>
    </row>
    <row r="16" ht="14.15" spans="1:9">
      <c r="A16" s="26"/>
      <c r="B16" s="24"/>
      <c r="C16" s="24"/>
      <c r="D16" s="24"/>
      <c r="E16" s="26"/>
      <c r="F16" s="24"/>
      <c r="G16" s="25" t="s">
        <v>70</v>
      </c>
      <c r="H16" s="24" t="s">
        <v>37</v>
      </c>
      <c r="I16" s="25" t="s">
        <v>71</v>
      </c>
    </row>
    <row r="17" ht="28.3" spans="1:9">
      <c r="A17" s="26"/>
      <c r="B17" s="24"/>
      <c r="C17" s="24"/>
      <c r="D17" s="24"/>
      <c r="E17" s="26"/>
      <c r="F17" s="24"/>
      <c r="G17" s="25" t="s">
        <v>72</v>
      </c>
      <c r="H17" s="24" t="s">
        <v>37</v>
      </c>
      <c r="I17" s="25" t="s">
        <v>73</v>
      </c>
    </row>
    <row r="18" ht="14.15" spans="1:9">
      <c r="A18" s="26"/>
      <c r="B18" s="24"/>
      <c r="C18" s="24"/>
      <c r="D18" s="24"/>
      <c r="E18" s="27"/>
      <c r="F18" s="24"/>
      <c r="G18" s="25" t="s">
        <v>74</v>
      </c>
      <c r="H18" s="24" t="s">
        <v>37</v>
      </c>
      <c r="I18" s="25" t="s">
        <v>75</v>
      </c>
    </row>
    <row r="19" ht="28.3" spans="1:9">
      <c r="A19" s="26"/>
      <c r="B19" s="24"/>
      <c r="C19" s="24"/>
      <c r="D19" s="24" t="s">
        <v>76</v>
      </c>
      <c r="E19" s="23" t="s">
        <v>34</v>
      </c>
      <c r="F19" s="24" t="s">
        <v>77</v>
      </c>
      <c r="G19" s="25" t="s">
        <v>78</v>
      </c>
      <c r="H19" s="24" t="s">
        <v>37</v>
      </c>
      <c r="I19" s="25" t="s">
        <v>79</v>
      </c>
    </row>
    <row r="20" ht="99" spans="1:9">
      <c r="A20" s="26"/>
      <c r="B20" s="24"/>
      <c r="C20" s="24"/>
      <c r="D20" s="24"/>
      <c r="E20" s="26"/>
      <c r="F20" s="24"/>
      <c r="G20" s="25" t="s">
        <v>80</v>
      </c>
      <c r="H20" s="24" t="s">
        <v>37</v>
      </c>
      <c r="I20" s="25" t="s">
        <v>81</v>
      </c>
    </row>
    <row r="21" ht="99" spans="1:9">
      <c r="A21" s="26"/>
      <c r="B21" s="24"/>
      <c r="C21" s="24"/>
      <c r="D21" s="24"/>
      <c r="E21" s="26"/>
      <c r="F21" s="24"/>
      <c r="G21" s="25" t="s">
        <v>82</v>
      </c>
      <c r="H21" s="24" t="s">
        <v>37</v>
      </c>
      <c r="I21" s="25" t="s">
        <v>83</v>
      </c>
    </row>
    <row r="22" ht="14.15" spans="1:9">
      <c r="A22" s="26"/>
      <c r="B22" s="24"/>
      <c r="C22" s="24"/>
      <c r="D22" s="24"/>
      <c r="E22" s="26"/>
      <c r="F22" s="24"/>
      <c r="G22" s="25" t="s">
        <v>84</v>
      </c>
      <c r="H22" s="24" t="s">
        <v>37</v>
      </c>
      <c r="I22" s="25" t="s">
        <v>84</v>
      </c>
    </row>
    <row r="23" ht="28.3" spans="1:9">
      <c r="A23" s="26"/>
      <c r="B23" s="24"/>
      <c r="C23" s="24"/>
      <c r="D23" s="24"/>
      <c r="E23" s="26"/>
      <c r="F23" s="24"/>
      <c r="G23" s="25" t="s">
        <v>85</v>
      </c>
      <c r="H23" s="24" t="s">
        <v>37</v>
      </c>
      <c r="I23" s="25" t="s">
        <v>86</v>
      </c>
    </row>
    <row r="24" ht="14.15" spans="1:9">
      <c r="A24" s="26"/>
      <c r="B24" s="24"/>
      <c r="C24" s="24"/>
      <c r="D24" s="24"/>
      <c r="E24" s="27"/>
      <c r="F24" s="24"/>
      <c r="G24" s="25" t="s">
        <v>87</v>
      </c>
      <c r="H24" s="24" t="s">
        <v>37</v>
      </c>
      <c r="I24" s="25" t="s">
        <v>88</v>
      </c>
    </row>
    <row r="25" ht="42.45" spans="1:9">
      <c r="A25" s="26"/>
      <c r="B25" s="24"/>
      <c r="C25" s="23" t="s">
        <v>89</v>
      </c>
      <c r="D25" s="24" t="s">
        <v>90</v>
      </c>
      <c r="E25" s="23" t="s">
        <v>34</v>
      </c>
      <c r="F25" s="24" t="s">
        <v>91</v>
      </c>
      <c r="G25" s="25" t="s">
        <v>92</v>
      </c>
      <c r="H25" s="24" t="s">
        <v>37</v>
      </c>
      <c r="I25" s="25" t="s">
        <v>93</v>
      </c>
    </row>
    <row r="26" ht="42.45" spans="1:9">
      <c r="A26" s="26"/>
      <c r="B26" s="24"/>
      <c r="C26" s="26"/>
      <c r="D26" s="24"/>
      <c r="E26" s="26"/>
      <c r="F26" s="24"/>
      <c r="G26" s="25" t="s">
        <v>94</v>
      </c>
      <c r="H26" s="24" t="s">
        <v>37</v>
      </c>
      <c r="I26" s="25" t="s">
        <v>95</v>
      </c>
    </row>
    <row r="27" ht="42.45" spans="1:9">
      <c r="A27" s="26"/>
      <c r="B27" s="24"/>
      <c r="C27" s="26"/>
      <c r="D27" s="24"/>
      <c r="E27" s="27"/>
      <c r="F27" s="24"/>
      <c r="G27" s="25" t="s">
        <v>96</v>
      </c>
      <c r="H27" s="24" t="s">
        <v>37</v>
      </c>
      <c r="I27" s="25" t="s">
        <v>97</v>
      </c>
    </row>
    <row r="28" ht="56.55" spans="1:9">
      <c r="A28" s="26"/>
      <c r="B28" s="24"/>
      <c r="C28" s="26"/>
      <c r="D28" s="24" t="s">
        <v>98</v>
      </c>
      <c r="E28" s="23" t="s">
        <v>34</v>
      </c>
      <c r="F28" s="24" t="s">
        <v>99</v>
      </c>
      <c r="G28" s="25" t="s">
        <v>100</v>
      </c>
      <c r="H28" s="24" t="s">
        <v>37</v>
      </c>
      <c r="I28" s="25" t="s">
        <v>101</v>
      </c>
    </row>
    <row r="29" ht="56.55" spans="1:9">
      <c r="A29" s="26"/>
      <c r="B29" s="24"/>
      <c r="C29" s="26"/>
      <c r="D29" s="24"/>
      <c r="E29" s="26"/>
      <c r="F29" s="24"/>
      <c r="G29" s="25" t="s">
        <v>102</v>
      </c>
      <c r="H29" s="24" t="s">
        <v>37</v>
      </c>
      <c r="I29" s="25" t="s">
        <v>103</v>
      </c>
    </row>
    <row r="30" ht="28.3" spans="1:9">
      <c r="A30" s="26"/>
      <c r="B30" s="24"/>
      <c r="C30" s="27"/>
      <c r="D30" s="24"/>
      <c r="E30" s="27"/>
      <c r="F30" s="24"/>
      <c r="G30" s="25" t="s">
        <v>104</v>
      </c>
      <c r="H30" s="24" t="s">
        <v>37</v>
      </c>
      <c r="I30" s="25" t="s">
        <v>105</v>
      </c>
    </row>
    <row r="31" ht="28.3" spans="1:9">
      <c r="A31" s="26"/>
      <c r="B31" s="24"/>
      <c r="C31" s="24" t="s">
        <v>106</v>
      </c>
      <c r="D31" s="24" t="s">
        <v>107</v>
      </c>
      <c r="E31" s="23" t="s">
        <v>34</v>
      </c>
      <c r="F31" s="24" t="s">
        <v>108</v>
      </c>
      <c r="G31" s="25" t="s">
        <v>109</v>
      </c>
      <c r="H31" s="24" t="s">
        <v>37</v>
      </c>
      <c r="I31" s="25" t="s">
        <v>110</v>
      </c>
    </row>
    <row r="32" ht="28.3" spans="1:9">
      <c r="A32" s="26"/>
      <c r="B32" s="24"/>
      <c r="C32" s="24"/>
      <c r="D32" s="24"/>
      <c r="E32" s="26"/>
      <c r="F32" s="24"/>
      <c r="G32" s="25" t="s">
        <v>111</v>
      </c>
      <c r="H32" s="24" t="s">
        <v>37</v>
      </c>
      <c r="I32" s="25" t="s">
        <v>112</v>
      </c>
    </row>
    <row r="33" ht="28.3" spans="1:9">
      <c r="A33" s="26"/>
      <c r="B33" s="24"/>
      <c r="C33" s="24"/>
      <c r="D33" s="24"/>
      <c r="E33" s="26"/>
      <c r="F33" s="24"/>
      <c r="G33" s="25" t="s">
        <v>113</v>
      </c>
      <c r="H33" s="24" t="s">
        <v>37</v>
      </c>
      <c r="I33" s="25" t="s">
        <v>114</v>
      </c>
    </row>
    <row r="34" ht="14.15" spans="1:9">
      <c r="A34" s="26"/>
      <c r="B34" s="24"/>
      <c r="C34" s="24"/>
      <c r="D34" s="24"/>
      <c r="E34" s="26"/>
      <c r="F34" s="24"/>
      <c r="G34" s="25" t="s">
        <v>115</v>
      </c>
      <c r="H34" s="24" t="s">
        <v>37</v>
      </c>
      <c r="I34" s="25" t="s">
        <v>116</v>
      </c>
    </row>
    <row r="35" ht="14.15" spans="1:9">
      <c r="A35" s="26"/>
      <c r="B35" s="24"/>
      <c r="C35" s="24"/>
      <c r="D35" s="24"/>
      <c r="E35" s="26"/>
      <c r="F35" s="24"/>
      <c r="G35" s="25" t="s">
        <v>117</v>
      </c>
      <c r="H35" s="24" t="s">
        <v>37</v>
      </c>
      <c r="I35" s="25" t="s">
        <v>118</v>
      </c>
    </row>
    <row r="36" ht="14.15" spans="1:9">
      <c r="A36" s="26"/>
      <c r="B36" s="24"/>
      <c r="C36" s="24"/>
      <c r="D36" s="24"/>
      <c r="E36" s="27"/>
      <c r="F36" s="24"/>
      <c r="G36" s="25" t="s">
        <v>119</v>
      </c>
      <c r="H36" s="24" t="s">
        <v>37</v>
      </c>
      <c r="I36" s="25" t="s">
        <v>120</v>
      </c>
    </row>
    <row r="37" ht="16" customHeight="1" spans="1:9">
      <c r="A37" s="26"/>
      <c r="B37" s="24"/>
      <c r="C37" s="24" t="s">
        <v>121</v>
      </c>
      <c r="D37" s="24" t="s">
        <v>122</v>
      </c>
      <c r="E37" s="23" t="s">
        <v>34</v>
      </c>
      <c r="F37" s="24" t="s">
        <v>123</v>
      </c>
      <c r="G37" s="25" t="s">
        <v>124</v>
      </c>
      <c r="H37" s="24" t="s">
        <v>37</v>
      </c>
      <c r="I37" s="25" t="s">
        <v>125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126</v>
      </c>
      <c r="H38" s="24" t="s">
        <v>37</v>
      </c>
      <c r="I38" s="25" t="s">
        <v>127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128</v>
      </c>
      <c r="H39" s="24" t="s">
        <v>37</v>
      </c>
      <c r="I39" s="25" t="s">
        <v>129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130</v>
      </c>
      <c r="H40" s="24" t="s">
        <v>37</v>
      </c>
      <c r="I40" s="25" t="s">
        <v>131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132</v>
      </c>
      <c r="H41" s="24" t="s">
        <v>37</v>
      </c>
      <c r="I41" s="25" t="s">
        <v>132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133</v>
      </c>
      <c r="H42" s="24" t="s">
        <v>37</v>
      </c>
      <c r="I42" s="25" t="s">
        <v>134</v>
      </c>
    </row>
    <row r="43" ht="16" customHeight="1" spans="1:9">
      <c r="A43" s="26"/>
      <c r="B43" s="24"/>
      <c r="C43" s="24"/>
      <c r="D43" s="24" t="s">
        <v>135</v>
      </c>
      <c r="E43" s="26"/>
      <c r="F43" s="24" t="s">
        <v>136</v>
      </c>
      <c r="G43" s="25" t="s">
        <v>137</v>
      </c>
      <c r="H43" s="24" t="s">
        <v>37</v>
      </c>
      <c r="I43" s="25" t="s">
        <v>138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139</v>
      </c>
      <c r="H44" s="24" t="s">
        <v>37</v>
      </c>
      <c r="I44" s="25" t="s">
        <v>140</v>
      </c>
    </row>
    <row r="45" ht="30" customHeight="1" spans="1:9">
      <c r="A45" s="26"/>
      <c r="B45" s="24"/>
      <c r="C45" s="24" t="s">
        <v>141</v>
      </c>
      <c r="D45" s="24" t="s">
        <v>142</v>
      </c>
      <c r="E45" s="23" t="s">
        <v>34</v>
      </c>
      <c r="F45" s="24" t="s">
        <v>143</v>
      </c>
      <c r="G45" s="25" t="s">
        <v>144</v>
      </c>
      <c r="H45" s="24" t="s">
        <v>37</v>
      </c>
      <c r="I45" s="25" t="s">
        <v>145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146</v>
      </c>
      <c r="H46" s="24" t="s">
        <v>37</v>
      </c>
      <c r="I46" s="25" t="s">
        <v>147</v>
      </c>
    </row>
    <row r="47" ht="30" customHeight="1" spans="1:9">
      <c r="A47" s="26"/>
      <c r="B47" s="24"/>
      <c r="C47" s="24"/>
      <c r="D47" s="24" t="s">
        <v>148</v>
      </c>
      <c r="E47" s="26"/>
      <c r="F47" s="24" t="s">
        <v>149</v>
      </c>
      <c r="G47" s="25" t="s">
        <v>150</v>
      </c>
      <c r="H47" s="24" t="s">
        <v>37</v>
      </c>
      <c r="I47" s="25" t="s">
        <v>151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152</v>
      </c>
      <c r="H48" s="24" t="s">
        <v>37</v>
      </c>
      <c r="I48" s="25" t="s">
        <v>153</v>
      </c>
    </row>
    <row r="49" ht="36" customHeight="1" spans="1:9">
      <c r="A49" s="26"/>
      <c r="B49" s="24" t="s">
        <v>154</v>
      </c>
      <c r="C49" s="28" t="s">
        <v>155</v>
      </c>
      <c r="D49" s="24" t="s">
        <v>156</v>
      </c>
      <c r="E49" s="23" t="s">
        <v>154</v>
      </c>
      <c r="F49" s="25" t="s">
        <v>157</v>
      </c>
      <c r="G49" s="25" t="s">
        <v>158</v>
      </c>
      <c r="H49" s="24" t="s">
        <v>37</v>
      </c>
      <c r="I49" s="25" t="s">
        <v>159</v>
      </c>
    </row>
    <row r="50" ht="30" customHeight="1" spans="1:9">
      <c r="A50" s="26"/>
      <c r="B50" s="24"/>
      <c r="C50" s="29"/>
      <c r="D50" s="24" t="s">
        <v>160</v>
      </c>
      <c r="E50" s="27"/>
      <c r="F50" s="24" t="s">
        <v>161</v>
      </c>
      <c r="G50" s="25" t="s">
        <v>161</v>
      </c>
      <c r="H50" s="24" t="s">
        <v>37</v>
      </c>
      <c r="I50" s="25" t="s">
        <v>162</v>
      </c>
    </row>
    <row r="51" ht="47" customHeight="1" spans="1:9">
      <c r="A51" s="23" t="s">
        <v>163</v>
      </c>
      <c r="B51" s="24" t="s">
        <v>164</v>
      </c>
      <c r="C51" s="24" t="s">
        <v>33</v>
      </c>
      <c r="D51" s="24" t="s">
        <v>165</v>
      </c>
      <c r="E51" s="23" t="s">
        <v>164</v>
      </c>
      <c r="F51" s="25" t="s">
        <v>166</v>
      </c>
      <c r="G51" s="25" t="s">
        <v>166</v>
      </c>
      <c r="H51" s="24" t="s">
        <v>167</v>
      </c>
      <c r="I51" s="25" t="s">
        <v>168</v>
      </c>
    </row>
    <row r="52" ht="47" customHeight="1" spans="1:9">
      <c r="A52" s="26"/>
      <c r="B52" s="24"/>
      <c r="C52" s="24"/>
      <c r="D52" s="24" t="s">
        <v>169</v>
      </c>
      <c r="E52" s="26"/>
      <c r="F52" s="25" t="s">
        <v>170</v>
      </c>
      <c r="G52" s="25" t="s">
        <v>171</v>
      </c>
      <c r="H52" s="24" t="s">
        <v>37</v>
      </c>
      <c r="I52" s="25" t="s">
        <v>172</v>
      </c>
    </row>
    <row r="53" ht="52" customHeight="1" spans="1:9">
      <c r="A53" s="26"/>
      <c r="B53" s="24"/>
      <c r="C53" s="24"/>
      <c r="D53" s="24" t="s">
        <v>173</v>
      </c>
      <c r="E53" s="26"/>
      <c r="F53" s="24" t="s">
        <v>174</v>
      </c>
      <c r="G53" s="25" t="s">
        <v>175</v>
      </c>
      <c r="H53" s="24" t="s">
        <v>37</v>
      </c>
      <c r="I53" s="25" t="s">
        <v>176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177</v>
      </c>
      <c r="H54" s="24" t="s">
        <v>37</v>
      </c>
      <c r="I54" s="25" t="s">
        <v>178</v>
      </c>
    </row>
    <row r="55" ht="39" customHeight="1" spans="1:9">
      <c r="A55" s="26"/>
      <c r="B55" s="24"/>
      <c r="C55" s="24"/>
      <c r="D55" s="24" t="s">
        <v>179</v>
      </c>
      <c r="E55" s="26"/>
      <c r="F55" s="25" t="s">
        <v>180</v>
      </c>
      <c r="G55" s="25" t="s">
        <v>181</v>
      </c>
      <c r="H55" s="24" t="s">
        <v>37</v>
      </c>
      <c r="I55" s="25" t="s">
        <v>182</v>
      </c>
    </row>
    <row r="56" ht="34" customHeight="1" spans="1:9">
      <c r="A56" s="26"/>
      <c r="B56" s="24"/>
      <c r="C56" s="24"/>
      <c r="D56" s="24" t="s">
        <v>183</v>
      </c>
      <c r="E56" s="26"/>
      <c r="F56" s="25" t="s">
        <v>184</v>
      </c>
      <c r="G56" s="25" t="s">
        <v>185</v>
      </c>
      <c r="H56" s="24" t="s">
        <v>37</v>
      </c>
      <c r="I56" s="25" t="s">
        <v>186</v>
      </c>
    </row>
    <row r="57" ht="41" customHeight="1" spans="1:9">
      <c r="A57" s="26"/>
      <c r="B57" s="24"/>
      <c r="C57" s="24"/>
      <c r="D57" s="24" t="s">
        <v>148</v>
      </c>
      <c r="E57" s="27"/>
      <c r="F57" s="25" t="s">
        <v>187</v>
      </c>
      <c r="G57" s="25" t="s">
        <v>188</v>
      </c>
      <c r="H57" s="24" t="s">
        <v>37</v>
      </c>
      <c r="I57" s="25" t="s">
        <v>189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tabSelected="1" workbookViewId="0">
      <selection activeCell="B6" sqref="B6"/>
    </sheetView>
  </sheetViews>
  <sheetFormatPr defaultColWidth="8.61261261261261" defaultRowHeight="14.1" outlineLevelCol="3"/>
  <cols>
    <col min="1" max="1" width="30.981981981982" style="1" customWidth="1"/>
    <col min="2" max="2" width="106.297297297297" style="1" customWidth="1"/>
  </cols>
  <sheetData>
    <row r="1" s="2" customFormat="1" ht="42" customHeight="1" spans="1:4">
      <c r="A1" s="4" t="s">
        <v>6</v>
      </c>
      <c r="B1" s="4" t="s">
        <v>7</v>
      </c>
    </row>
    <row r="2" customFormat="1" ht="33" customHeight="1" spans="1:4">
      <c r="A2" s="5" t="s">
        <v>190</v>
      </c>
      <c r="B2" s="5" t="s">
        <v>191</v>
      </c>
    </row>
    <row r="3" ht="33" customHeight="1" spans="1:4">
      <c r="A3" s="5" t="s">
        <v>192</v>
      </c>
      <c r="B3" s="5" t="s">
        <v>193</v>
      </c>
      <c r="D3" t="s">
        <v>194</v>
      </c>
    </row>
    <row r="4" ht="45" customHeight="1" spans="1:4">
      <c r="A4" s="14" t="s">
        <v>195</v>
      </c>
      <c r="B4" s="14" t="s">
        <v>196</v>
      </c>
    </row>
    <row r="5" ht="45" customHeight="1" spans="1:4">
      <c r="A5" s="5" t="s">
        <v>197</v>
      </c>
      <c r="B5" s="5" t="s">
        <v>198</v>
      </c>
    </row>
    <row r="6" ht="254" customHeight="1" spans="1:4">
      <c r="A6" s="5" t="s">
        <v>199</v>
      </c>
      <c r="B6" s="19" t="s">
        <v>200</v>
      </c>
    </row>
    <row r="7" ht="56" customHeight="1" spans="1:4">
      <c r="A7" s="5" t="s">
        <v>201</v>
      </c>
      <c r="B7" s="5" t="s">
        <v>202</v>
      </c>
    </row>
    <row r="8" ht="36" customHeight="1" spans="1:4">
      <c r="A8" s="5" t="s">
        <v>203</v>
      </c>
      <c r="B8" s="5" t="s">
        <v>204</v>
      </c>
    </row>
    <row r="9" ht="36" customHeight="1" spans="1:4">
      <c r="A9" s="5" t="s">
        <v>205</v>
      </c>
      <c r="B9" s="5">
        <v>1</v>
      </c>
    </row>
    <row r="10" ht="27" customHeight="1" spans="1:4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13" sqref="B13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6</v>
      </c>
      <c r="B1" s="4" t="s">
        <v>7</v>
      </c>
    </row>
    <row r="2" ht="61" customHeight="1" spans="1:2">
      <c r="A2" s="5" t="s">
        <v>190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4" t="s">
        <v>215</v>
      </c>
      <c r="B6" s="16">
        <v>45809</v>
      </c>
    </row>
    <row r="7" customFormat="1" ht="70.7" spans="1:2">
      <c r="A7" s="17" t="s">
        <v>216</v>
      </c>
      <c r="B7" s="18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27.3" spans="1:2">
      <c r="A9" s="17" t="s">
        <v>220</v>
      </c>
      <c r="B9" s="18" t="s">
        <v>221</v>
      </c>
    </row>
    <row r="10" customFormat="1" spans="1:2">
      <c r="A10" s="14"/>
      <c r="B10" s="14"/>
    </row>
    <row r="11" customFormat="1" spans="1:2">
      <c r="A11" s="14"/>
      <c r="B11" s="14"/>
    </row>
    <row r="12" customFormat="1" spans="1:2">
      <c r="A12" s="14"/>
      <c r="B12" s="14"/>
    </row>
    <row r="13" spans="1:2">
      <c r="A13" s="14"/>
      <c r="B13" s="14"/>
    </row>
    <row r="14" spans="1:2">
      <c r="A14" s="14"/>
      <c r="B14" s="14"/>
    </row>
    <row r="15" spans="1:2">
      <c r="A15" s="14"/>
      <c r="B15" s="14"/>
    </row>
    <row r="16" spans="1:2">
      <c r="A16" s="14"/>
      <c r="B16" s="14"/>
    </row>
    <row r="17" spans="1:2">
      <c r="A17" s="14"/>
      <c r="B17" s="14"/>
    </row>
    <row r="18" spans="1:2">
      <c r="A18" s="14"/>
      <c r="B18" s="1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B21" sqref="B21:B22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6</v>
      </c>
      <c r="B1" s="4" t="s">
        <v>222</v>
      </c>
    </row>
    <row r="2" ht="54" customHeight="1" spans="1:2">
      <c r="A2" s="14" t="s">
        <v>223</v>
      </c>
      <c r="B2" s="14">
        <v>176</v>
      </c>
    </row>
    <row r="3" ht="54" customHeight="1" spans="1:2">
      <c r="A3" s="15" t="s">
        <v>224</v>
      </c>
      <c r="B3" s="15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5" t="s">
        <v>226</v>
      </c>
      <c r="B5" s="15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I8" sqref="I8"/>
    </sheetView>
  </sheetViews>
  <sheetFormatPr defaultColWidth="8.61261261261261" defaultRowHeight="14.1" outlineLevelCol="1"/>
  <cols>
    <col min="1" max="1" width="24.4774774774775" style="1" customWidth="1"/>
    <col min="2" max="2" width="88.2702702702703" style="1" customWidth="1"/>
  </cols>
  <sheetData>
    <row r="1" s="1" customFormat="1" ht="31" customHeight="1" spans="1:2">
      <c r="A1" s="4" t="s">
        <v>6</v>
      </c>
      <c r="B1" s="4" t="s">
        <v>7</v>
      </c>
    </row>
    <row r="2" s="1" customFormat="1" ht="61" customHeight="1" spans="1:2">
      <c r="A2" s="5" t="s">
        <v>190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24" customHeight="1" spans="1:2">
      <c r="A8" s="14"/>
      <c r="B8" s="14"/>
    </row>
    <row r="9" ht="24" customHeight="1" spans="1:2">
      <c r="A9" s="14"/>
      <c r="B9" s="14"/>
    </row>
    <row r="10" ht="24" customHeight="1" spans="1:2">
      <c r="A10" s="14"/>
      <c r="B10" s="14"/>
    </row>
    <row r="11" ht="24" customHeight="1" spans="1:2">
      <c r="A11" s="14"/>
      <c r="B11" s="14"/>
    </row>
    <row r="12" ht="24" customHeight="1" spans="1:2">
      <c r="A12" s="14"/>
      <c r="B12" s="14"/>
    </row>
    <row r="13" ht="24" customHeight="1" spans="1:2">
      <c r="A13" s="14"/>
      <c r="B13" s="14"/>
    </row>
    <row r="14" ht="24" customHeight="1" spans="1:2">
      <c r="A14" s="14"/>
      <c r="B14" s="14"/>
    </row>
    <row r="15" ht="24" customHeight="1" spans="1:2">
      <c r="A15" s="14"/>
      <c r="B15" s="14"/>
    </row>
    <row r="16" ht="24" customHeight="1" spans="1:2">
      <c r="A16" s="14"/>
      <c r="B16" s="14"/>
    </row>
    <row r="17" ht="24" customHeight="1" spans="1:2">
      <c r="A17" s="14"/>
      <c r="B17" s="14"/>
    </row>
    <row r="18" ht="24" customHeight="1" spans="1:2">
      <c r="A18" s="14"/>
      <c r="B18" s="14"/>
    </row>
    <row r="19" ht="24" customHeight="1" spans="1:2">
      <c r="A19" s="14"/>
      <c r="B19" s="14"/>
    </row>
    <row r="20" ht="24" customHeight="1" spans="1:2">
      <c r="A20" s="14"/>
      <c r="B20" s="14"/>
    </row>
    <row r="21" ht="24" customHeight="1" spans="1:2">
      <c r="A21" s="14"/>
      <c r="B21" s="14"/>
    </row>
    <row r="22" ht="24" customHeight="1" spans="1:2">
      <c r="A22" s="14"/>
      <c r="B22" s="14"/>
    </row>
    <row r="23" ht="24" customHeight="1" spans="1:2">
      <c r="A23" s="14"/>
      <c r="B23" s="14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D6" sqref="D6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6</v>
      </c>
      <c r="B1" s="4" t="s">
        <v>7</v>
      </c>
    </row>
    <row r="2" ht="37" customHeight="1" spans="1:2">
      <c r="A2" s="9" t="s">
        <v>190</v>
      </c>
      <c r="B2" s="10" t="s">
        <v>237</v>
      </c>
    </row>
    <row r="3" ht="24" customHeight="1" spans="1:2">
      <c r="A3" s="11" t="s">
        <v>238</v>
      </c>
      <c r="B3" s="5" t="s">
        <v>239</v>
      </c>
    </row>
    <row r="4" ht="24" customHeight="1" spans="1:2">
      <c r="A4" s="11" t="s">
        <v>240</v>
      </c>
      <c r="B4" s="5" t="s">
        <v>219</v>
      </c>
    </row>
    <row r="5" ht="24" customHeight="1" spans="1:2">
      <c r="A5" s="11" t="s">
        <v>241</v>
      </c>
      <c r="B5" s="5" t="s">
        <v>242</v>
      </c>
    </row>
    <row r="6" ht="24" customHeight="1" spans="1:2">
      <c r="A6" s="11" t="s">
        <v>243</v>
      </c>
      <c r="B6" s="5" t="s">
        <v>244</v>
      </c>
    </row>
    <row r="7" ht="24" customHeight="1" spans="1:2">
      <c r="A7" s="11" t="s">
        <v>245</v>
      </c>
      <c r="B7" s="5" t="s">
        <v>246</v>
      </c>
    </row>
    <row r="8" ht="24" customHeight="1" spans="1:2">
      <c r="A8" s="11" t="s">
        <v>247</v>
      </c>
      <c r="B8" s="5" t="s">
        <v>248</v>
      </c>
    </row>
    <row r="9" ht="24" customHeight="1" spans="1:2">
      <c r="A9" s="11" t="s">
        <v>249</v>
      </c>
      <c r="B9" s="5" t="s">
        <v>250</v>
      </c>
    </row>
    <row r="10" ht="24" customHeight="1" spans="1:2">
      <c r="A10" s="11" t="s">
        <v>251</v>
      </c>
      <c r="B10" s="5" t="s">
        <v>252</v>
      </c>
    </row>
    <row r="11" ht="24" customHeight="1" spans="1:2">
      <c r="A11" s="11" t="s">
        <v>253</v>
      </c>
      <c r="B11" s="5">
        <v>13950406998</v>
      </c>
    </row>
    <row r="12" ht="24" customHeight="1" spans="1:2">
      <c r="A12" s="12" t="s">
        <v>254</v>
      </c>
      <c r="B12" s="3">
        <f>'5、预估工作量-元数据录入'!B3</f>
        <v>0</v>
      </c>
    </row>
    <row r="13" ht="24" customHeight="1" spans="1:2">
      <c r="A13" s="12" t="s">
        <v>255</v>
      </c>
      <c r="B13" s="3"/>
    </row>
    <row r="14" ht="24" customHeight="1" spans="1:2">
      <c r="A14" s="11" t="s">
        <v>256</v>
      </c>
      <c r="B14" s="5" t="s">
        <v>257</v>
      </c>
    </row>
    <row r="15" ht="24" customHeight="1" spans="1:2">
      <c r="A15" s="11" t="s">
        <v>258</v>
      </c>
      <c r="B15" s="5" t="s">
        <v>219</v>
      </c>
    </row>
    <row r="16" ht="24" customHeight="1" spans="1:2">
      <c r="A16" s="11" t="s">
        <v>259</v>
      </c>
      <c r="B16" s="5" t="s">
        <v>260</v>
      </c>
    </row>
    <row r="17" ht="24" customHeight="1" spans="1:2">
      <c r="A17" s="12" t="s">
        <v>261</v>
      </c>
      <c r="B17" s="3">
        <f>'5、预估工作量-元数据录入'!B3</f>
        <v>0</v>
      </c>
    </row>
    <row r="18" ht="24" customHeight="1" spans="1:2">
      <c r="A18" s="12" t="s">
        <v>262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H31" sqref="H3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263</v>
      </c>
      <c r="B1" s="4" t="s">
        <v>264</v>
      </c>
    </row>
    <row r="2" ht="24" customHeight="1" spans="1:2">
      <c r="A2" s="5" t="s">
        <v>265</v>
      </c>
      <c r="B2" s="6" t="s">
        <v>266</v>
      </c>
    </row>
    <row r="3" ht="24" customHeight="1" spans="1:2">
      <c r="A3" s="5" t="s">
        <v>267</v>
      </c>
      <c r="B3" s="6" t="s">
        <v>268</v>
      </c>
    </row>
    <row r="4" ht="24" customHeight="1" spans="1:2">
      <c r="A4" s="5" t="s">
        <v>269</v>
      </c>
      <c r="B4" s="6" t="s">
        <v>270</v>
      </c>
    </row>
    <row r="5" ht="24" customHeight="1" spans="1:2">
      <c r="A5" s="5" t="s">
        <v>271</v>
      </c>
      <c r="B5" s="6" t="s">
        <v>272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2" sqref="D2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6</v>
      </c>
      <c r="B1" s="2" t="s">
        <v>222</v>
      </c>
    </row>
    <row r="2" ht="27" customHeight="1" spans="1:2">
      <c r="A2" s="3" t="s">
        <v>273</v>
      </c>
      <c r="B2" s="3">
        <f>COUNTA('2、功能清单-内容录入'!A:A)-1</f>
        <v>2</v>
      </c>
    </row>
    <row r="3" ht="32" customHeight="1" spans="1:2">
      <c r="A3" s="3" t="s">
        <v>274</v>
      </c>
      <c r="B3" s="3">
        <f>COUNTA('2、功能清单-内容录入'!B:B)-1</f>
        <v>3</v>
      </c>
    </row>
    <row r="4" ht="43" customHeight="1" spans="1:2">
      <c r="A4" s="3" t="s">
        <v>275</v>
      </c>
      <c r="B4" s="3">
        <f>COUNTA('2、功能清单-内容录入'!C:C)-1</f>
        <v>8</v>
      </c>
    </row>
    <row r="5" ht="42" customHeight="1" spans="1:2">
      <c r="A5" s="3" t="s">
        <v>276</v>
      </c>
      <c r="B5" s="3">
        <f>COUNTA('2、功能清单-内容录入'!D:D)-1</f>
        <v>19</v>
      </c>
    </row>
    <row r="6" ht="45" customHeight="1" spans="1:2">
      <c r="A6" s="3" t="s">
        <v>277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2026-05-10T14:05:30Z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