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065" windowHeight="14725" tabRatio="798" activeTab="7"/>
  </bookViews>
  <sheets>
    <sheet name="模板说明" sheetId="6" r:id="rId1"/>
    <sheet name="1、工单需求-元数据录入" sheetId="3" r:id="rId2"/>
    <sheet name="2、功能清单-内容录入" sheetId="1" r:id="rId3"/>
    <sheet name="3、FPA工作量评估-元数据录入" sheetId="4" r:id="rId4"/>
    <sheet name="4、项目需求说明书-元数据录入" sheetId="5" r:id="rId5"/>
    <sheet name="5、预估工作量-元数据录入" sheetId="2" r:id="rId6"/>
    <sheet name="6、项目功能点拆分表-元数据录入" sheetId="9" r:id="rId7"/>
    <sheet name="7、项目需求清单-元数据录入" sheetId="11" r:id="rId8"/>
    <sheet name="8、各文档-模板路径录入" sheetId="12" r:id="rId9"/>
    <sheet name="9、测试-元数据自动统计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实际是按照个人经验评估，基准值10的调整按4，基准值7的调整值按3，基准值4的调整值按3，基准值2.4的调整值按2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B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基于三级模块列的所有内容</t>
        </r>
      </text>
    </comment>
    <comment ref="B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系统功能中涉及与可靠性方面的模块，总结可靠性相关的描述</t>
        </r>
      </text>
    </comment>
  </commentList>
</comments>
</file>

<file path=xl/comments3.xml><?xml version="1.0" encoding="utf-8"?>
<comments xmlns="http://schemas.openxmlformats.org/spreadsheetml/2006/main">
  <authors>
    <author>Administrator</author>
  </authors>
  <commentList>
    <comment ref="B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>
  <authors>
    <author>Administrator</author>
  </authors>
  <commentList>
    <comment ref="B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客户端类型，
含有后台，接收者：后台管理员
含有前台，接收者：普通用户
含有渠道，接收者：渠道人员
以上都不含，默认：操作员</t>
        </r>
      </text>
    </comment>
  </commentList>
</comments>
</file>

<file path=xl/comments5.xml><?xml version="1.0" encoding="utf-8"?>
<comments xmlns="http://schemas.openxmlformats.org/spreadsheetml/2006/main">
  <authors>
    <author>Administrator</author>
  </authors>
  <commentList>
    <comment ref="B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等于项目功能点拆分表.xlsx中CFP列的求和，无需填，系统自动求和生成
</t>
        </r>
      </text>
    </comment>
    <comment ref="B1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等于项目功能点拆分表.xlsx中CFP列的求和，无需填，系统自动求和生成
</t>
        </r>
      </text>
    </comment>
  </commentList>
</comments>
</file>

<file path=xl/comments6.xml><?xml version="1.0" encoding="utf-8"?>
<comments xmlns="http://schemas.openxmlformats.org/spreadsheetml/2006/main">
  <authors>
    <author>Administrator</author>
  </authors>
  <commentList>
    <comment ref="B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入口（个数）、一级模块（个数）、二级模块（个数）、三级模块（个数）、
功能过程（个数），这几个数据用于校验本程序从“2、功能清单录入”Sheet解析出来的数据正确与否。
</t>
        </r>
      </text>
    </comment>
  </commentList>
</comments>
</file>

<file path=xl/sharedStrings.xml><?xml version="1.0" encoding="utf-8"?>
<sst xmlns="http://schemas.openxmlformats.org/spreadsheetml/2006/main" count="366" uniqueCount="278">
  <si>
    <t>绿色单元格</t>
  </si>
  <si>
    <t>自动计算或引用数据，不得修改</t>
  </si>
  <si>
    <t>黄色单元格</t>
  </si>
  <si>
    <t>一般情况下，不需要修改</t>
  </si>
  <si>
    <t>蓝色单元格</t>
  </si>
  <si>
    <t>如果该单元格中有#AI生成#的标记，表示对应的内容由AI去生成
如果该单元格中没有#AI生成#的标记，表示采用该单元格的原文</t>
  </si>
  <si>
    <t>项目</t>
  </si>
  <si>
    <t>内容</t>
  </si>
  <si>
    <t>工单编号</t>
  </si>
  <si>
    <t>闽市移需【202501】17658 号</t>
  </si>
  <si>
    <t>工单标题</t>
  </si>
  <si>
    <t>关于构建垂直行业场景化营销的需求</t>
  </si>
  <si>
    <t>工单内容</t>
  </si>
  <si>
    <t>为满足垂直行业场景化营销和对外合作赋能需求，拟构建垂直行业的场景营销模块应用，为行业客户提供专属通信权益，还可联合异业生态提供生态权益。针对对外合作赋能需求，可提供不同的行业个性化营销页面。具体需求为以下：
1、构建垂直行业客户认证体系 
（1）客户进行行业认证信息提交，等待后端认证； 
（2）行业平台管理员进行信息认证，失败可再次认证；
（3）客户可对失败的认证进行修改后再次提交认证； 
（4）对于认证通过的客户，前台展示其认证信息，如饿了么骑手。
2、构建行业客户专属通信权益 
（1）支持根据不同行业配置专属礼包权益，可关联标签限制；
（2）客户通过身份鉴权判断，满足条件可办理专属通信礼包权益（权益可包含营销案、组合业务等）。 
3、构建垂直行业生态合作及对外赋能 
（1）支持创建多个自定义营销页面，可根据不同行业生态场景营销需求提供个性化定制页面，打造联合营销场景；
（2）支持行业免费券和收费券办理，可基于客户身份鉴权判断领取行业生态权益优惠券，也可实现垂直行业商品+业务组合办理。</t>
  </si>
  <si>
    <t>总体描述</t>
  </si>
  <si>
    <t>#AI生成#根据${工单内容}，生成总体描述，要求200~300字</t>
  </si>
  <si>
    <t>建设目标</t>
  </si>
  <si>
    <t>#AI生成#根据${工单内容}，生成建设目标，要求200~300字</t>
  </si>
  <si>
    <t>建设必要性</t>
  </si>
  <si>
    <t>#AI生成#根据${工单内容}，生成建设必要性，要求200~300字</t>
  </si>
  <si>
    <t>系统概况</t>
  </si>
  <si>
    <t>#AI生成#根据${工单内容}，生成系统概况，要求200~300字</t>
  </si>
  <si>
    <t>入口</t>
  </si>
  <si>
    <t>一级模块</t>
  </si>
  <si>
    <t>二级模块</t>
  </si>
  <si>
    <t>三级模块</t>
  </si>
  <si>
    <t>客户端类型</t>
  </si>
  <si>
    <t>三级模块整体功能描述</t>
  </si>
  <si>
    <t>功能过程</t>
  </si>
  <si>
    <t>功能过程类型</t>
  </si>
  <si>
    <t>功能过程描述</t>
  </si>
  <si>
    <t>管理后台</t>
  </si>
  <si>
    <t>垂直行业营销</t>
  </si>
  <si>
    <t>垂直行业管理</t>
  </si>
  <si>
    <t>地市后台</t>
  </si>
  <si>
    <t>垂直行业管理，支持搜索、添加、编辑、删除行业</t>
  </si>
  <si>
    <t>添加垂直行业</t>
  </si>
  <si>
    <t>新增</t>
  </si>
  <si>
    <t>添加垂直行业，点击添加按钮，输入行业名称，提交创建</t>
  </si>
  <si>
    <t>垂直行业列表数据查询</t>
  </si>
  <si>
    <t>列表默认展示存量的垂直行业，展示字段为ID、行业名称、添加时间、状态</t>
  </si>
  <si>
    <t>编辑垂直行业</t>
  </si>
  <si>
    <t>编辑垂直行业数据，可编辑的字段为行业名称</t>
  </si>
  <si>
    <t>查询垂直行业数据</t>
  </si>
  <si>
    <t>输入垂直行业名称搜索，搜索结果展示在列表中，列表字段为ID、行业名称、添加时间、状态</t>
  </si>
  <si>
    <t>删除垂直行业</t>
  </si>
  <si>
    <t>点击删除按钮，删除垂直行业数据，删除的数据字段为ID、行业名称、添加时间、状态</t>
  </si>
  <si>
    <t>新增垂直行业管理员</t>
  </si>
  <si>
    <t>添加垂直行业管理员，输入手机号码保存；校验所添加的手机号码必须为系统用户，否则无法添加</t>
  </si>
  <si>
    <t>删除垂直行业管理员</t>
  </si>
  <si>
    <t>删除垂直行业管理员数据</t>
  </si>
  <si>
    <t>合伙商管理</t>
  </si>
  <si>
    <t>行业下的合作商管理，支持搜索、添加、编辑、删除合作商</t>
  </si>
  <si>
    <t>搜索合作商</t>
  </si>
  <si>
    <t>所条件搜索合伙商数据，搜索条件为平台名称、关联行业；搜索结果展示在列表中，搜索结果字段为ID、合伙商名称、关联行业、添加时间</t>
  </si>
  <si>
    <t>添加合作商</t>
  </si>
  <si>
    <t>点击添加合伙商按钮，弹窗表单添加，选择关联行业、输入行业名提交创建</t>
  </si>
  <si>
    <t>编辑合作商</t>
  </si>
  <si>
    <t>编辑合作商的数据，可编辑的字段为关联行业、行业名称</t>
  </si>
  <si>
    <t>删除合伙商</t>
  </si>
  <si>
    <t>删除合作商数据</t>
  </si>
  <si>
    <t>装修管理</t>
  </si>
  <si>
    <t>首页装修</t>
  </si>
  <si>
    <t>垂直行业活动首页装修，支持为某个行业创建首页页面，通过组件的方式进行配置</t>
  </si>
  <si>
    <t>首页装修列表数据查询</t>
  </si>
  <si>
    <t>首页装修列表数据展示，字段为ID、首页名称、关联行业、添加时间、状态</t>
  </si>
  <si>
    <t>添加行业首页装修</t>
  </si>
  <si>
    <t>通过组件的方式装修配置，具体功能为以下：
1、拖拽组件到预览区域进行编辑数据
2、组件包含图片轮播、图片广告、业务组件、优惠券组件、登录状态组件、签到组件、驿站组件、通讯礼包组件、视频组件、浮窗组件
3、配置活动的基础数据：页面名称、背景颜色、分享设置、所属行业</t>
  </si>
  <si>
    <t>编辑行业首页装修</t>
  </si>
  <si>
    <t>可编辑首页装修的数据，具体功能为以下：
1、拖拽组件到预览区域或移除组件
2、组件包含图片轮播、图片广告、业务组件、优惠券组件、登录状态组件、签到组件、驿站组件、通讯礼包组件、视频组件、浮窗组件
3、修改活动的基础数据：页面名称、背景颜色、分享设置、所属行业</t>
  </si>
  <si>
    <t>删除行业装修首页</t>
  </si>
  <si>
    <t>删除行业首页装修数据</t>
  </si>
  <si>
    <t>一键复制行业装修首页</t>
  </si>
  <si>
    <t>一键复制行业装修活动，包含id、首页名称、关联行业、创建时间、状态、装修配置数据等</t>
  </si>
  <si>
    <t>获取行业首页装修活动地址</t>
  </si>
  <si>
    <t>获取行业首页装修活动分销地址</t>
  </si>
  <si>
    <t>自定义装修</t>
  </si>
  <si>
    <t>创建自定义页面，支持创建个性化页面，通过组件的方式进行配置</t>
  </si>
  <si>
    <t>自定义页面列表数据查询</t>
  </si>
  <si>
    <t>自定义页面列表数据展示，字段为ID、首页名称、关联行业、添加时间、状态</t>
  </si>
  <si>
    <t>添加自定义页面</t>
  </si>
  <si>
    <t>通过组件的方式配置自定义页面，具体功能为以下：
1、拖拽组件到预览区域进行编辑数据
2、组件包含图片轮播、图片广告、业务组件、优惠券组件、登录状态组件、签到组件、驿站组件、通讯礼包组件、视频组件、浮窗组件
3、配置活动的基础数据：页面名称、背景颜色、分享设置、所属行业</t>
  </si>
  <si>
    <t>编辑自定义页面</t>
  </si>
  <si>
    <t>可编辑自定义页面的数据，具体功能为以下：
1、拖拽组件到预览区域或移除组件
2、组件包含图片轮播、图片广告、业务组件、优惠券组件、登录状态组件、签到组件、驿站组件、通讯礼包组件、视频组件、浮窗组件
3、修改活动的基础数据：页面名称、背景颜色、分享设置、所属行业</t>
  </si>
  <si>
    <t>删除自定义页面</t>
  </si>
  <si>
    <t>一键复制自定义页面</t>
  </si>
  <si>
    <t>一键复制自定义页面，包含id、首页名称、关联行业、创建时间、状态、装修配置数据等</t>
  </si>
  <si>
    <t>获取自定义页面地址</t>
  </si>
  <si>
    <t>获取自定义页面分销地址</t>
  </si>
  <si>
    <t>行业人员认证管理</t>
  </si>
  <si>
    <t>行业人员认证列表</t>
  </si>
  <si>
    <t>已认证通过的行业人员管理，包含查询、导入、导出等</t>
  </si>
  <si>
    <t>查询已认证行业人员信息</t>
  </si>
  <si>
    <t>多条件查询已认证行业人员信息，查询结果展示在列表中；查询条件包含ID、人员名称、人员号码、性别、行业类别、工作平台、证件信息、认证方式、认证人员、认证通过时间、状态</t>
  </si>
  <si>
    <t>导入已认证行业人员</t>
  </si>
  <si>
    <t>上传excel数据表导入创建已经认证行业人员，支持下载模板填充数据后导入；导入模板字段为人员名称、人员号码、性别、行业类别、工作平台、证件信息、认证方式、认证人员</t>
  </si>
  <si>
    <t>导出已认证行业人员</t>
  </si>
  <si>
    <t>导出已认证行业人员数据，导出数据表字段为序号、人员名称、人员手机号、性别、行业类别、工作平台、认证方式、认证人员、提交认证时间、状态</t>
  </si>
  <si>
    <t>行业人员稽核列表</t>
  </si>
  <si>
    <t>行业人员注册稽核信息管理，支持进行稽核，稽核通过数据写入行业认证人员表，支持导出稽核数据</t>
  </si>
  <si>
    <t>查询行业人员稽核数据</t>
  </si>
  <si>
    <t>多条件查询行业人员稽核数据，查询结果展示在列表中；查询条件包含人员名称、人员号码、行业类别、认证通过时间；查询结果包含ID、人员名称、人员号码、性别、行业类别、工作平台、认证方式、提交认证时间、分销信息、状态等</t>
  </si>
  <si>
    <t>导出行业人员稽核数据</t>
  </si>
  <si>
    <t>导出行业人员稽核数据，数据字段包含ID、人员名称、人员号码、行业类别、认证通过时间；查询结果包含ID、人员名称、人员号码、性别、行业类别、工作平台、认证方式、提交认证时间、分销信息、状态等</t>
  </si>
  <si>
    <t>对行业人员进行稽核</t>
  </si>
  <si>
    <t>支持对行业人员信息进行稽核，稽核通过行业人员信息数据写入已认证表，稽核失败需要填写失败原因</t>
  </si>
  <si>
    <t>驿站管理</t>
  </si>
  <si>
    <t>驿站列表</t>
  </si>
  <si>
    <t>驿站管理，支持搜索、添加、编辑、删除、更改状态、导出等功能</t>
  </si>
  <si>
    <t>搜索驿站</t>
  </si>
  <si>
    <t>支持驿站名称搜索，搜索结果展示在列表中，搜索结果数据为ID、驿站名称、驿站地址、添加时间、状态</t>
  </si>
  <si>
    <t>添加驿站</t>
  </si>
  <si>
    <t>点击添加按钮、弹窗表单添加驿站，表单字段为驿站名称、驿站地址</t>
  </si>
  <si>
    <t>编辑驿站信息</t>
  </si>
  <si>
    <t>编辑驿站信息，点击编辑按钮，弹窗表单更新信息，可更新字段驿站名称、驿站地址</t>
  </si>
  <si>
    <t>删除驿站</t>
  </si>
  <si>
    <t>删除驿站数据</t>
  </si>
  <si>
    <t>更改驿站状态</t>
  </si>
  <si>
    <t>开启或关闭驿站的状态</t>
  </si>
  <si>
    <t>批量导入创建驿站</t>
  </si>
  <si>
    <t>批量导入创建驿站，导入字段为驿站名称、驿站地址</t>
  </si>
  <si>
    <t>签到管理</t>
  </si>
  <si>
    <t>签到奖品配置</t>
  </si>
  <si>
    <t>签到奖品配置，一周期7天，支持配置每天的奖品信息</t>
  </si>
  <si>
    <t>签到列表数据查询</t>
  </si>
  <si>
    <t>签到列表数据查询，包括签到规则、签到周期</t>
  </si>
  <si>
    <t>添加签到奖品数据</t>
  </si>
  <si>
    <t>点击添加奖品、弹窗表单添加奖品；需要先获取全量奖品库奖品；表单字段包含选择奖品、库存、权重、中奖概率、领取次数限制等</t>
  </si>
  <si>
    <t>查询奖品数据</t>
  </si>
  <si>
    <t>通过奖品名称条件搜索奖品，搜索结果展示在列表中；结果字段为ID、奖品名称、初始库存、剩余库存</t>
  </si>
  <si>
    <t>编辑奖品数据</t>
  </si>
  <si>
    <t>编辑奖品的数据，可更新的字段包含选择奖品、库存、权重、中将概率、领取次数限制等</t>
  </si>
  <si>
    <t>删除奖品数据</t>
  </si>
  <si>
    <t>导出奖品数据</t>
  </si>
  <si>
    <t>导出奖品数据，字段为id、奖品名称、库存、中奖概率</t>
  </si>
  <si>
    <t>签到记录</t>
  </si>
  <si>
    <t>签到记录管理，支持查询、导出数据</t>
  </si>
  <si>
    <t>查询签到记录</t>
  </si>
  <si>
    <t>支持按手机号码查询签到记录，查询结果展示在列表中；结果字段为</t>
  </si>
  <si>
    <t>导出签到记录</t>
  </si>
  <si>
    <t>导出签到记录，导出字段为id、手机号码、签到开始时间、签到结束时间、累计签到天数、创建时间、更新时间</t>
  </si>
  <si>
    <t>订单管理</t>
  </si>
  <si>
    <t>卡券订单</t>
  </si>
  <si>
    <t>卡劵订单管理，支持搜索、导出卡劵订单数据</t>
  </si>
  <si>
    <t>搜索卡劵订单</t>
  </si>
  <si>
    <t>多条件搜索卡劵订单，搜索结果展示在列表；条件包含订单流水、领劵手机号码、卡劵名称、卡劵ID、卡劵类型、所属商户、卡劵来源、渠道名称、分销员手机号、状态、下单时间；搜索结果字段为序号、订单流水、领券手机号码、卡券名称、卡券ID、卡券类型、原价、售价、所属商户、卡券来源、来源应用通道 、应用通道项目、分销信息、收货人名称、收货人手机号、收货地址、物流单号、状态 、下单时间、发券时间、使用时间</t>
  </si>
  <si>
    <t>导出卡劵订单</t>
  </si>
  <si>
    <t>导出卡劵订单数据，导出数据字段为序号、订单流水、领劵手机号码、卡劵名称、卡劵ID、卡劵类型、原价、售价、所属商户、卡劵来源、来源应用通道、应用通道项目、所属地市、所属县公司、所属一级渠道名称、所属一级渠道编码、分销员名称、分销员手机号、状态、下单时间、发券时间、使用时间</t>
  </si>
  <si>
    <t>业务订单</t>
  </si>
  <si>
    <t>业务订单管理，支持查询、导出业务订单数据</t>
  </si>
  <si>
    <t>搜索业务订单</t>
  </si>
  <si>
    <t>多条件搜索卡劵订单，搜索结果展示在列表；条件包含统一订单编号、客户号码、业务名称、业务编码、县公司名称、县公司编码、渠道名称、渠道编码、泛渠道名称、泛渠道编码、分销员手机号码；搜索及如果数据字段为ID、统一订单编码、下单号码、业务名称、业务编码、业务类型、分销信息、来源行业、下单时间、订单状态</t>
  </si>
  <si>
    <t>导出业务订单</t>
  </si>
  <si>
    <t>导出业务订单数据，导出数据字段为id、统一订单编码、下单号码、业务名称、业务编码、业务类型、地市、一级渠道名称、一级渠道编码、泛渠道名称、泛渠道编码、分销员名称、分销员号码、来源行业、下单时间、订单状态、受理详情</t>
  </si>
  <si>
    <t>用户前台</t>
  </si>
  <si>
    <t>活动前台</t>
  </si>
  <si>
    <t>垂直行业登录页</t>
  </si>
  <si>
    <t>垂直行业专属登录页，用户点击输入验证码时进行校验，校验通过后登录成功</t>
  </si>
  <si>
    <t>登录页面</t>
  </si>
  <si>
    <t>通过手机号码+验证码的方式进行登录，输入手机号码，获取验证码，输入验证码，系统校验通过后进行登录</t>
  </si>
  <si>
    <t>首页</t>
  </si>
  <si>
    <t>首页装修页面渲染展示</t>
  </si>
  <si>
    <t>新增用户首页，根据后台的装修数据，进行首页的效果展示，支持在该页面进行下单、或者跳转至其他界面</t>
  </si>
  <si>
    <t>前台</t>
  </si>
  <si>
    <t>渠道工作台</t>
  </si>
  <si>
    <t>用户信息</t>
  </si>
  <si>
    <t>获取分销员的基础信息</t>
  </si>
  <si>
    <t>修改</t>
  </si>
  <si>
    <t>获取分销员的基础信息，包括微信头像、分销员名称、分销员手机号码</t>
  </si>
  <si>
    <t>分销码</t>
  </si>
  <si>
    <t>分销员可获取垂直行业活动分销码，列表的方式展示所有活动的分销码</t>
  </si>
  <si>
    <t>获取垂直行业分销码</t>
  </si>
  <si>
    <t>列表展示垂直行业活动的分销码，字段包含活动名称、分销二维码、分销链接</t>
  </si>
  <si>
    <t>稽核管理</t>
  </si>
  <si>
    <t>分销员可查询稽核信息，并对未稽核的客户信息进行稽核</t>
  </si>
  <si>
    <t>稽核列表数据查询</t>
  </si>
  <si>
    <t>支持通过客户名称、手机号码查询，查询结果展示在列表中；查询条件包含姓名、手机号码，查询结果字段为头像、姓名、手机号码、行业名称、合伙商名称等</t>
  </si>
  <si>
    <t>分销员进行稽核</t>
  </si>
  <si>
    <t>查看客户稽核信息详情，字段包含头像、姓名、手机号码、归属行业、归属合伙商、证件信息；支持进行稽核，可设置稽核成功或者失败，稽核失败需要填写原因</t>
  </si>
  <si>
    <t>销售概况</t>
  </si>
  <si>
    <t>统计当前分销员的销售概况，支持按时间筛选查询数据</t>
  </si>
  <si>
    <t>查询分销员销售概况</t>
  </si>
  <si>
    <t>统计当前分销员的销售概况，支持按时间筛选查询数据，统计维度为访问人数、总销售订单、成功订单</t>
  </si>
  <si>
    <t>卡劵订单</t>
  </si>
  <si>
    <t>当前分销员销售的卡劵订单</t>
  </si>
  <si>
    <t>查询分销员销售的卡劵订单</t>
  </si>
  <si>
    <t>列表展示房前分销员分销的卡劵订单，字段包含销售时间、卡劵图标、卡劵名称、领取时间、领取号码、领取状态</t>
  </si>
  <si>
    <t>当前分销员销售的业务订单</t>
  </si>
  <si>
    <t>查询分销员销售的业务订单</t>
  </si>
  <si>
    <t>列表展示房前分销员销售的业务订单，字段包含销售时间、业务图标、业务名称、受理时间、办理号码、办理结果</t>
  </si>
  <si>
    <t>文件名</t>
  </si>
  <si>
    <t>${工单编号}-${工单名称}（${子系统（模块）}）-FPA工作量评估.xlsx</t>
  </si>
  <si>
    <t>子系统（模块）</t>
  </si>
  <si>
    <t>和乐业</t>
  </si>
  <si>
    <t>3、闽市移需【202501】17658 号-关于构建垂直行业场景化营销的需求（和乐业）-FPA工作量评估</t>
  </si>
  <si>
    <t>资产标识</t>
  </si>
  <si>
    <t>YXGJ-CZHY-01</t>
  </si>
  <si>
    <t>新增/修改功能点前缀生成规则</t>
  </si>
  <si>
    <t>【客户端类型】一级模块-二级模块-三级模块-功能过程</t>
  </si>
  <si>
    <t>计算依据归类判定原则</t>
  </si>
  <si>
    <t>EI:1)修改或增加界面的个数
EI:2)对ILF的插入、修改、删除操作的次数（无涉及画面的）
EI:3)从外系统接口获取数据；
EI:4)用户从IVR、短营、网营的每次输入
EO:1)输出的票据、报表、统计、文件、短信、彩信、邮件的个数
EO:2)IVR、短营、网营的调用外接口的反馈处理
EQ:1)提供查询界面输入并展示返回结果
EQ:2)配置每档套餐视为一个EQ
EQ:3)工作流的一个流程变化视为一个EQ
EQ:4)KPI计算与输出视为1个EQ
ILF:1)后台数据库变更（包括增加、删除以及对字段的变更）的表个数
ILF:2)计费处理用到的文件、内存表的个数
EIF:1)评估范围外相关的表（文件）的个数</t>
  </si>
  <si>
    <t>基准值公式</t>
  </si>
  <si>
    <t>IF(E3="EI",4,IF(E3="EO",5,IF(E3="EQ",4,IF(E3="ILF",10,IF(E3="EIF",7,0)))))*IF(H3="修改",0.6,1)</t>
  </si>
  <si>
    <t>调整值公式</t>
  </si>
  <si>
    <t>IFS(I3=10, 4, I3=7, 3, I3=4, 3, I3=2.4, 2, TRUE, 0)</t>
  </si>
  <si>
    <t>要素数量</t>
  </si>
  <si>
    <t>FPA工作量公式</t>
  </si>
  <si>
    <t>J3*K3</t>
  </si>
  <si>
    <t>附件1-${工单编号}-${工单名称}（${子系统（模块）}）项目需求说明书V1.0.0.docx</t>
  </si>
  <si>
    <t>文档标题</t>
  </si>
  <si>
    <t>${工单名称}</t>
  </si>
  <si>
    <t>文档类别</t>
  </si>
  <si>
    <t>业务需求说明书</t>
  </si>
  <si>
    <t>公司名</t>
  </si>
  <si>
    <t>福建移动公司</t>
  </si>
  <si>
    <t>文档日期</t>
  </si>
  <si>
    <t>调整因子中的功能概述</t>
  </si>
  <si>
    <t>#AI生成#
根据${三级模块}的全部内容，概括项目的主要功能模块，判定系统属于业务处理还是管理支撑类型。
按照以下示例的格式输出：
本项目主要完成功能参与垂直行业配置、行业人员认证、下单页面自定义配置、用户下单、订单查看等模块，属于业务处理。</t>
  </si>
  <si>
    <t>调整因子中的子系统名称</t>
  </si>
  <si>
    <t>${工单标题}</t>
  </si>
  <si>
    <t>调整因子中的可靠性描述</t>
  </si>
  <si>
    <t>#AI生成#
根据${三级模块整体功能描述}中的全部内容，提取其中涉及与可靠性方面的模块，生成一段可靠性需求描述，
要求包含：
1. 结合项目业务场景说明可靠性为何重要；
2. 数据备份和容灾要求；
3. 7×24小时不间断运行要求；
4. 模块更新不相互影响的要求
请参考以下示例风格：
结合业务场景说明可靠性重要性，提出具体的数据备份和容灾措施，明确运行时间和模块独立性要求。</t>
  </si>
  <si>
    <t>数量</t>
  </si>
  <si>
    <t>预估工作量（人/天）</t>
  </si>
  <si>
    <t>FPA核减后的工作量（人/天）</t>
  </si>
  <si>
    <t>CFP数量限制倍数</t>
  </si>
  <si>
    <t>CFP数量限制值（个数）</t>
  </si>
  <si>
    <t>附件2-${工单编号}-${工单名称}（${子系统（模块）}）项目功能点拆分表V1.0.0.xlsx</t>
  </si>
  <si>
    <t>客户需求</t>
  </si>
  <si>
    <t>功能用户-发起者判定</t>
  </si>
  <si>
    <t>默认：操作员
分销：分销员</t>
  </si>
  <si>
    <t>功能用户-接收者判定</t>
  </si>
  <si>
    <t>后台：后台管理员
前台：普通用户
渠道：渠道人员
默认：操作员</t>
  </si>
  <si>
    <t>触发事件</t>
  </si>
  <si>
    <t>用户触发</t>
  </si>
  <si>
    <t>CFP计算公式</t>
  </si>
  <si>
    <t>IF(L{row}=\"新增\",1,IF(L{row}=\"复用\",1/3,0))</t>
  </si>
  <si>
    <t>附件3-${工单编号}-${工单名称}（${子系统（模块）}）项目需求清单V1.0.0.xlsx</t>
  </si>
  <si>
    <t>项目信息概览-标题</t>
  </si>
  <si>
    <t>${工单标题}项目送审信息概览（非必选）</t>
  </si>
  <si>
    <t>项目信息概览-项目名称</t>
  </si>
  <si>
    <t>项目信息概览-子系统名称</t>
  </si>
  <si>
    <t>COM-1-福建移动和乐业数字生活平台</t>
  </si>
  <si>
    <t>项目信息概览-项目类型</t>
  </si>
  <si>
    <t>结算</t>
  </si>
  <si>
    <t>项目信息概览-所属域</t>
  </si>
  <si>
    <t>B</t>
  </si>
  <si>
    <t>项目信息概览-所属系统</t>
  </si>
  <si>
    <t>基础平台系统</t>
  </si>
  <si>
    <t>项目信息概览-需求部门</t>
  </si>
  <si>
    <t>市场经营部</t>
  </si>
  <si>
    <t>项目信息概览-需求负责人</t>
  </si>
  <si>
    <t>卞蕾</t>
  </si>
  <si>
    <t>项目信息概览-需求负责人联系方式</t>
  </si>
  <si>
    <t>项目信息概览-送审工作量</t>
  </si>
  <si>
    <t>项目信息概览-送审功能点</t>
  </si>
  <si>
    <t>功能清单-标题</t>
  </si>
  <si>
    <t>${工单标题}项目送审功能清单(非必选)</t>
  </si>
  <si>
    <t>功能清单-项目名称</t>
  </si>
  <si>
    <t>功能清单-子系统</t>
  </si>
  <si>
    <t>和乐业数字生活</t>
  </si>
  <si>
    <t>功能清单-送审工作量</t>
  </si>
  <si>
    <t>功能清单-送审功能点</t>
  </si>
  <si>
    <t>模板名</t>
  </si>
  <si>
    <t>模板路径</t>
  </si>
  <si>
    <t>FPA工作量评估-模板</t>
  </si>
  <si>
    <t>data\templates\FPA工作量评估-模板.xlsx</t>
  </si>
  <si>
    <t>项目需求说明书-模板</t>
  </si>
  <si>
    <t>data\templates\项目需求说明书-模板.docx</t>
  </si>
  <si>
    <t>项目功能点拆分表-模板</t>
  </si>
  <si>
    <t>data\templates\项目功能点拆分表-模板.xlsx</t>
  </si>
  <si>
    <t>项目需求清单-模板</t>
  </si>
  <si>
    <t>data\templates\项目需求清单-模板.xlsx</t>
  </si>
  <si>
    <t>入口（个数）</t>
  </si>
  <si>
    <t>一级模块（个数）</t>
  </si>
  <si>
    <t>二级模块（个数）</t>
  </si>
  <si>
    <t>三级模块（个数）</t>
  </si>
  <si>
    <t>功能过程（个数）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</si>
</sst>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0000"/>
      <name val="微软雅黑"/>
      <charset val="134"/>
    </font>
    <font>
      <b/>
      <sz val="12"/>
      <color rgb="FFFF0000"/>
      <name val="宋体"/>
      <charset val="134"/>
      <scheme val="minor"/>
    </font>
    <font>
      <sz val="12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9" borderId="9" applyNumberFormat="0" applyAlignment="0" applyProtection="0">
      <alignment vertical="center"/>
    </xf>
    <xf numFmtId="0" fontId="15" fillId="9" borderId="8" applyNumberFormat="0" applyAlignment="0" applyProtection="0">
      <alignment vertical="center"/>
    </xf>
    <xf numFmtId="0" fontId="16" fillId="10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3" borderId="1" xfId="0" applyFont="1" applyFill="1" applyBorder="1" applyAlignment="1">
      <alignment horizontal="left" vertical="center"/>
    </xf>
    <xf numFmtId="0" fontId="0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57" fontId="0" fillId="0" borderId="1" xfId="0" applyNumberForma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0" xfId="0" applyFont="1">
      <alignment vertical="center"/>
    </xf>
    <xf numFmtId="0" fontId="0" fillId="0" borderId="1" xfId="0" applyBorder="1">
      <alignment vertical="center"/>
    </xf>
    <xf numFmtId="0" fontId="0" fillId="5" borderId="1" xfId="0" applyFill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B6"/>
  <sheetViews>
    <sheetView workbookViewId="0">
      <selection activeCell="B21" sqref="B21"/>
    </sheetView>
  </sheetViews>
  <sheetFormatPr defaultColWidth="8.61261261261261" defaultRowHeight="14.1" outlineLevelRow="5" outlineLevelCol="1"/>
  <cols>
    <col min="1" max="1" width="13.2162162162162" customWidth="1"/>
    <col min="2" max="2" width="93.8198198198198" customWidth="1"/>
  </cols>
  <sheetData>
    <row r="4" ht="47" customHeight="1" spans="1:2">
      <c r="A4" s="33" t="s">
        <v>0</v>
      </c>
      <c r="B4" s="34" t="s">
        <v>1</v>
      </c>
    </row>
    <row r="5" ht="52" customHeight="1" spans="1:2">
      <c r="A5" s="35" t="s">
        <v>2</v>
      </c>
      <c r="B5" s="34" t="s">
        <v>3</v>
      </c>
    </row>
    <row r="6" ht="52" customHeight="1" spans="1:2">
      <c r="A6" s="36" t="s">
        <v>4</v>
      </c>
      <c r="B6" s="37" t="s">
        <v>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B21" sqref="B21"/>
    </sheetView>
  </sheetViews>
  <sheetFormatPr defaultColWidth="8.61261261261261" defaultRowHeight="14.1" outlineLevelRow="7" outlineLevelCol="1"/>
  <cols>
    <col min="1" max="1" width="21.9459459459459" style="1" customWidth="1"/>
    <col min="2" max="2" width="117.36036036036" customWidth="1"/>
  </cols>
  <sheetData>
    <row r="1" s="30" customFormat="1" ht="38" customHeight="1" spans="1:2">
      <c r="A1" s="4" t="s">
        <v>6</v>
      </c>
      <c r="B1" s="4" t="s">
        <v>7</v>
      </c>
    </row>
    <row r="2" ht="42" customHeight="1" spans="1:2">
      <c r="A2" s="14" t="s">
        <v>8</v>
      </c>
      <c r="B2" s="31" t="s">
        <v>9</v>
      </c>
    </row>
    <row r="3" ht="34" customHeight="1" spans="1:2">
      <c r="A3" s="14" t="s">
        <v>10</v>
      </c>
      <c r="B3" s="31" t="s">
        <v>11</v>
      </c>
    </row>
    <row r="4" ht="183.45" spans="1:2">
      <c r="A4" s="14" t="s">
        <v>12</v>
      </c>
      <c r="B4" s="25" t="s">
        <v>13</v>
      </c>
    </row>
    <row r="5" customFormat="1" ht="24" customHeight="1" spans="1:2">
      <c r="A5" s="17" t="s">
        <v>14</v>
      </c>
      <c r="B5" s="32" t="s">
        <v>15</v>
      </c>
    </row>
    <row r="6" customFormat="1" ht="24" customHeight="1" spans="1:2">
      <c r="A6" s="17" t="s">
        <v>16</v>
      </c>
      <c r="B6" s="32" t="s">
        <v>17</v>
      </c>
    </row>
    <row r="7" customFormat="1" ht="24" customHeight="1" spans="1:2">
      <c r="A7" s="17" t="s">
        <v>18</v>
      </c>
      <c r="B7" s="32" t="s">
        <v>19</v>
      </c>
    </row>
    <row r="8" customFormat="1" ht="24" customHeight="1" spans="1:2">
      <c r="A8" s="17" t="s">
        <v>20</v>
      </c>
      <c r="B8" s="32" t="s">
        <v>21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7"/>
  <sheetViews>
    <sheetView zoomScale="85" zoomScaleNormal="85" workbookViewId="0">
      <pane ySplit="1" topLeftCell="A2" activePane="bottomLeft" state="frozen"/>
      <selection/>
      <selection pane="bottomLeft" activeCell="I1" sqref="I1"/>
    </sheetView>
  </sheetViews>
  <sheetFormatPr defaultColWidth="8.72972972972973" defaultRowHeight="14.1"/>
  <cols>
    <col min="1" max="1" width="10.1351351351351" style="21" customWidth="1"/>
    <col min="2" max="2" width="12.6666666666667" style="21" customWidth="1"/>
    <col min="3" max="3" width="13.7297297297297" style="21" customWidth="1"/>
    <col min="4" max="4" width="19.3333333333333" style="21" customWidth="1"/>
    <col min="5" max="5" width="23.1621621621622" style="21" customWidth="1"/>
    <col min="6" max="6" width="44.3333333333333" style="21" customWidth="1"/>
    <col min="7" max="7" width="35.5225225225225" style="21" customWidth="1"/>
    <col min="8" max="8" width="23.5315315315315" style="21" customWidth="1"/>
    <col min="9" max="9" width="55.045045045045" style="21" customWidth="1"/>
    <col min="10" max="16384" width="8.72972972972973" style="21"/>
  </cols>
  <sheetData>
    <row r="1" s="20" customFormat="1" ht="49" customHeight="1" spans="1:9">
      <c r="A1" s="22" t="s">
        <v>22</v>
      </c>
      <c r="B1" s="22" t="s">
        <v>23</v>
      </c>
      <c r="C1" s="22" t="s">
        <v>24</v>
      </c>
      <c r="D1" s="22" t="s">
        <v>25</v>
      </c>
      <c r="E1" s="22" t="s">
        <v>26</v>
      </c>
      <c r="F1" s="22" t="s">
        <v>27</v>
      </c>
      <c r="G1" s="22" t="s">
        <v>28</v>
      </c>
      <c r="H1" s="22" t="s">
        <v>29</v>
      </c>
      <c r="I1" s="22" t="s">
        <v>30</v>
      </c>
    </row>
    <row r="2" ht="32" customHeight="1" spans="1:9">
      <c r="A2" s="23" t="s">
        <v>31</v>
      </c>
      <c r="B2" s="24" t="s">
        <v>32</v>
      </c>
      <c r="C2" s="24" t="s">
        <v>33</v>
      </c>
      <c r="D2" s="24" t="s">
        <v>33</v>
      </c>
      <c r="E2" s="23" t="s">
        <v>34</v>
      </c>
      <c r="F2" s="24" t="s">
        <v>35</v>
      </c>
      <c r="G2" s="25" t="s">
        <v>36</v>
      </c>
      <c r="H2" s="24" t="s">
        <v>37</v>
      </c>
      <c r="I2" s="25" t="s">
        <v>38</v>
      </c>
    </row>
    <row r="3" ht="28.3" spans="1:9">
      <c r="A3" s="26"/>
      <c r="B3" s="24"/>
      <c r="C3" s="24"/>
      <c r="D3" s="24"/>
      <c r="E3" s="26"/>
      <c r="F3" s="24"/>
      <c r="G3" s="25" t="s">
        <v>39</v>
      </c>
      <c r="H3" s="24" t="s">
        <v>37</v>
      </c>
      <c r="I3" s="25" t="s">
        <v>40</v>
      </c>
    </row>
    <row r="4" ht="29" customHeight="1" spans="1:9">
      <c r="A4" s="26"/>
      <c r="B4" s="24"/>
      <c r="C4" s="24"/>
      <c r="D4" s="24"/>
      <c r="E4" s="26"/>
      <c r="F4" s="24"/>
      <c r="G4" s="25" t="s">
        <v>41</v>
      </c>
      <c r="H4" s="24" t="s">
        <v>37</v>
      </c>
      <c r="I4" s="25" t="s">
        <v>42</v>
      </c>
    </row>
    <row r="5" ht="34" customHeight="1" spans="1:9">
      <c r="A5" s="26"/>
      <c r="B5" s="24"/>
      <c r="C5" s="24"/>
      <c r="D5" s="24"/>
      <c r="E5" s="26"/>
      <c r="F5" s="24"/>
      <c r="G5" s="25" t="s">
        <v>43</v>
      </c>
      <c r="H5" s="24" t="s">
        <v>37</v>
      </c>
      <c r="I5" s="25" t="s">
        <v>44</v>
      </c>
    </row>
    <row r="6" ht="28.3" spans="1:9">
      <c r="A6" s="26"/>
      <c r="B6" s="24"/>
      <c r="C6" s="24"/>
      <c r="D6" s="24"/>
      <c r="E6" s="26"/>
      <c r="F6" s="24"/>
      <c r="G6" s="25" t="s">
        <v>45</v>
      </c>
      <c r="H6" s="24" t="s">
        <v>37</v>
      </c>
      <c r="I6" s="25" t="s">
        <v>46</v>
      </c>
    </row>
    <row r="7" ht="39" customHeight="1" spans="1:9">
      <c r="A7" s="26"/>
      <c r="B7" s="24"/>
      <c r="C7" s="24"/>
      <c r="D7" s="24"/>
      <c r="E7" s="26"/>
      <c r="F7" s="24"/>
      <c r="G7" s="25" t="s">
        <v>47</v>
      </c>
      <c r="H7" s="24" t="s">
        <v>37</v>
      </c>
      <c r="I7" s="25" t="s">
        <v>48</v>
      </c>
    </row>
    <row r="8" ht="14.15" spans="1:9">
      <c r="A8" s="26"/>
      <c r="B8" s="24"/>
      <c r="C8" s="24"/>
      <c r="D8" s="24"/>
      <c r="E8" s="27"/>
      <c r="F8" s="24"/>
      <c r="G8" s="25" t="s">
        <v>49</v>
      </c>
      <c r="H8" s="24" t="s">
        <v>37</v>
      </c>
      <c r="I8" s="25" t="s">
        <v>50</v>
      </c>
    </row>
    <row r="9" ht="47" customHeight="1" spans="1:9">
      <c r="A9" s="26"/>
      <c r="B9" s="24"/>
      <c r="C9" s="24"/>
      <c r="D9" s="24" t="s">
        <v>51</v>
      </c>
      <c r="E9" s="23" t="s">
        <v>34</v>
      </c>
      <c r="F9" s="24" t="s">
        <v>52</v>
      </c>
      <c r="G9" s="25" t="s">
        <v>53</v>
      </c>
      <c r="H9" s="24" t="s">
        <v>37</v>
      </c>
      <c r="I9" s="25" t="s">
        <v>54</v>
      </c>
    </row>
    <row r="10" ht="35" customHeight="1" spans="1:9">
      <c r="A10" s="26"/>
      <c r="B10" s="24"/>
      <c r="C10" s="24"/>
      <c r="D10" s="24"/>
      <c r="E10" s="26"/>
      <c r="F10" s="24"/>
      <c r="G10" s="25" t="s">
        <v>55</v>
      </c>
      <c r="H10" s="24" t="s">
        <v>37</v>
      </c>
      <c r="I10" s="25" t="s">
        <v>56</v>
      </c>
    </row>
    <row r="11" ht="30" customHeight="1" spans="1:9">
      <c r="A11" s="26"/>
      <c r="B11" s="24"/>
      <c r="C11" s="24"/>
      <c r="D11" s="24"/>
      <c r="E11" s="26"/>
      <c r="F11" s="24"/>
      <c r="G11" s="25" t="s">
        <v>57</v>
      </c>
      <c r="H11" s="24" t="s">
        <v>37</v>
      </c>
      <c r="I11" s="25" t="s">
        <v>58</v>
      </c>
    </row>
    <row r="12" ht="14.15" spans="1:9">
      <c r="A12" s="26"/>
      <c r="B12" s="24"/>
      <c r="C12" s="24"/>
      <c r="D12" s="24"/>
      <c r="E12" s="27"/>
      <c r="F12" s="24"/>
      <c r="G12" s="25" t="s">
        <v>59</v>
      </c>
      <c r="H12" s="24" t="s">
        <v>37</v>
      </c>
      <c r="I12" s="25" t="s">
        <v>60</v>
      </c>
    </row>
    <row r="13" ht="28.3" spans="1:9">
      <c r="A13" s="26"/>
      <c r="B13" s="24"/>
      <c r="C13" s="24" t="s">
        <v>61</v>
      </c>
      <c r="D13" s="24" t="s">
        <v>62</v>
      </c>
      <c r="E13" s="23" t="s">
        <v>34</v>
      </c>
      <c r="F13" s="24" t="s">
        <v>63</v>
      </c>
      <c r="G13" s="25" t="s">
        <v>64</v>
      </c>
      <c r="H13" s="24" t="s">
        <v>37</v>
      </c>
      <c r="I13" s="25" t="s">
        <v>65</v>
      </c>
    </row>
    <row r="14" ht="99" spans="1:9">
      <c r="A14" s="26"/>
      <c r="B14" s="24"/>
      <c r="C14" s="24"/>
      <c r="D14" s="24"/>
      <c r="E14" s="26"/>
      <c r="F14" s="24"/>
      <c r="G14" s="25" t="s">
        <v>66</v>
      </c>
      <c r="H14" s="24" t="s">
        <v>37</v>
      </c>
      <c r="I14" s="25" t="s">
        <v>67</v>
      </c>
    </row>
    <row r="15" ht="99" spans="1:9">
      <c r="A15" s="26"/>
      <c r="B15" s="24"/>
      <c r="C15" s="24"/>
      <c r="D15" s="24"/>
      <c r="E15" s="26"/>
      <c r="F15" s="24"/>
      <c r="G15" s="25" t="s">
        <v>68</v>
      </c>
      <c r="H15" s="24" t="s">
        <v>37</v>
      </c>
      <c r="I15" s="25" t="s">
        <v>69</v>
      </c>
    </row>
    <row r="16" ht="14.15" spans="1:9">
      <c r="A16" s="26"/>
      <c r="B16" s="24"/>
      <c r="C16" s="24"/>
      <c r="D16" s="24"/>
      <c r="E16" s="26"/>
      <c r="F16" s="24"/>
      <c r="G16" s="25" t="s">
        <v>70</v>
      </c>
      <c r="H16" s="24" t="s">
        <v>37</v>
      </c>
      <c r="I16" s="25" t="s">
        <v>71</v>
      </c>
    </row>
    <row r="17" ht="28.3" spans="1:9">
      <c r="A17" s="26"/>
      <c r="B17" s="24"/>
      <c r="C17" s="24"/>
      <c r="D17" s="24"/>
      <c r="E17" s="26"/>
      <c r="F17" s="24"/>
      <c r="G17" s="25" t="s">
        <v>72</v>
      </c>
      <c r="H17" s="24" t="s">
        <v>37</v>
      </c>
      <c r="I17" s="25" t="s">
        <v>73</v>
      </c>
    </row>
    <row r="18" ht="14.15" spans="1:9">
      <c r="A18" s="26"/>
      <c r="B18" s="24"/>
      <c r="C18" s="24"/>
      <c r="D18" s="24"/>
      <c r="E18" s="27"/>
      <c r="F18" s="24"/>
      <c r="G18" s="25" t="s">
        <v>74</v>
      </c>
      <c r="H18" s="24" t="s">
        <v>37</v>
      </c>
      <c r="I18" s="25" t="s">
        <v>75</v>
      </c>
    </row>
    <row r="19" ht="28.3" spans="1:9">
      <c r="A19" s="26"/>
      <c r="B19" s="24"/>
      <c r="C19" s="24"/>
      <c r="D19" s="24" t="s">
        <v>76</v>
      </c>
      <c r="E19" s="23" t="s">
        <v>34</v>
      </c>
      <c r="F19" s="24" t="s">
        <v>77</v>
      </c>
      <c r="G19" s="25" t="s">
        <v>78</v>
      </c>
      <c r="H19" s="24" t="s">
        <v>37</v>
      </c>
      <c r="I19" s="25" t="s">
        <v>79</v>
      </c>
    </row>
    <row r="20" ht="99" spans="1:9">
      <c r="A20" s="26"/>
      <c r="B20" s="24"/>
      <c r="C20" s="24"/>
      <c r="D20" s="24"/>
      <c r="E20" s="26"/>
      <c r="F20" s="24"/>
      <c r="G20" s="25" t="s">
        <v>80</v>
      </c>
      <c r="H20" s="24" t="s">
        <v>37</v>
      </c>
      <c r="I20" s="25" t="s">
        <v>81</v>
      </c>
    </row>
    <row r="21" ht="99" spans="1:9">
      <c r="A21" s="26"/>
      <c r="B21" s="24"/>
      <c r="C21" s="24"/>
      <c r="D21" s="24"/>
      <c r="E21" s="26"/>
      <c r="F21" s="24"/>
      <c r="G21" s="25" t="s">
        <v>82</v>
      </c>
      <c r="H21" s="24" t="s">
        <v>37</v>
      </c>
      <c r="I21" s="25" t="s">
        <v>83</v>
      </c>
    </row>
    <row r="22" ht="14.15" spans="1:9">
      <c r="A22" s="26"/>
      <c r="B22" s="24"/>
      <c r="C22" s="24"/>
      <c r="D22" s="24"/>
      <c r="E22" s="26"/>
      <c r="F22" s="24"/>
      <c r="G22" s="25" t="s">
        <v>84</v>
      </c>
      <c r="H22" s="24" t="s">
        <v>37</v>
      </c>
      <c r="I22" s="25" t="s">
        <v>84</v>
      </c>
    </row>
    <row r="23" ht="28.3" spans="1:9">
      <c r="A23" s="26"/>
      <c r="B23" s="24"/>
      <c r="C23" s="24"/>
      <c r="D23" s="24"/>
      <c r="E23" s="26"/>
      <c r="F23" s="24"/>
      <c r="G23" s="25" t="s">
        <v>85</v>
      </c>
      <c r="H23" s="24" t="s">
        <v>37</v>
      </c>
      <c r="I23" s="25" t="s">
        <v>86</v>
      </c>
    </row>
    <row r="24" ht="14.15" spans="1:9">
      <c r="A24" s="26"/>
      <c r="B24" s="24"/>
      <c r="C24" s="24"/>
      <c r="D24" s="24"/>
      <c r="E24" s="27"/>
      <c r="F24" s="24"/>
      <c r="G24" s="25" t="s">
        <v>87</v>
      </c>
      <c r="H24" s="24" t="s">
        <v>37</v>
      </c>
      <c r="I24" s="25" t="s">
        <v>88</v>
      </c>
    </row>
    <row r="25" ht="42.45" spans="1:9">
      <c r="A25" s="26"/>
      <c r="B25" s="24"/>
      <c r="C25" s="23" t="s">
        <v>89</v>
      </c>
      <c r="D25" s="24" t="s">
        <v>90</v>
      </c>
      <c r="E25" s="23" t="s">
        <v>34</v>
      </c>
      <c r="F25" s="24" t="s">
        <v>91</v>
      </c>
      <c r="G25" s="25" t="s">
        <v>92</v>
      </c>
      <c r="H25" s="24" t="s">
        <v>37</v>
      </c>
      <c r="I25" s="25" t="s">
        <v>93</v>
      </c>
    </row>
    <row r="26" ht="42.45" spans="1:9">
      <c r="A26" s="26"/>
      <c r="B26" s="24"/>
      <c r="C26" s="26"/>
      <c r="D26" s="24"/>
      <c r="E26" s="26"/>
      <c r="F26" s="24"/>
      <c r="G26" s="25" t="s">
        <v>94</v>
      </c>
      <c r="H26" s="24" t="s">
        <v>37</v>
      </c>
      <c r="I26" s="25" t="s">
        <v>95</v>
      </c>
    </row>
    <row r="27" ht="42.45" spans="1:9">
      <c r="A27" s="26"/>
      <c r="B27" s="24"/>
      <c r="C27" s="26"/>
      <c r="D27" s="24"/>
      <c r="E27" s="27"/>
      <c r="F27" s="24"/>
      <c r="G27" s="25" t="s">
        <v>96</v>
      </c>
      <c r="H27" s="24" t="s">
        <v>37</v>
      </c>
      <c r="I27" s="25" t="s">
        <v>97</v>
      </c>
    </row>
    <row r="28" ht="56.55" spans="1:9">
      <c r="A28" s="26"/>
      <c r="B28" s="24"/>
      <c r="C28" s="26"/>
      <c r="D28" s="24" t="s">
        <v>98</v>
      </c>
      <c r="E28" s="23" t="s">
        <v>34</v>
      </c>
      <c r="F28" s="24" t="s">
        <v>99</v>
      </c>
      <c r="G28" s="25" t="s">
        <v>100</v>
      </c>
      <c r="H28" s="24" t="s">
        <v>37</v>
      </c>
      <c r="I28" s="25" t="s">
        <v>101</v>
      </c>
    </row>
    <row r="29" ht="56.55" spans="1:9">
      <c r="A29" s="26"/>
      <c r="B29" s="24"/>
      <c r="C29" s="26"/>
      <c r="D29" s="24"/>
      <c r="E29" s="26"/>
      <c r="F29" s="24"/>
      <c r="G29" s="25" t="s">
        <v>102</v>
      </c>
      <c r="H29" s="24" t="s">
        <v>37</v>
      </c>
      <c r="I29" s="25" t="s">
        <v>103</v>
      </c>
    </row>
    <row r="30" ht="28.3" spans="1:9">
      <c r="A30" s="26"/>
      <c r="B30" s="24"/>
      <c r="C30" s="27"/>
      <c r="D30" s="24"/>
      <c r="E30" s="27"/>
      <c r="F30" s="24"/>
      <c r="G30" s="25" t="s">
        <v>104</v>
      </c>
      <c r="H30" s="24" t="s">
        <v>37</v>
      </c>
      <c r="I30" s="25" t="s">
        <v>105</v>
      </c>
    </row>
    <row r="31" ht="28.3" spans="1:9">
      <c r="A31" s="26"/>
      <c r="B31" s="24"/>
      <c r="C31" s="24" t="s">
        <v>106</v>
      </c>
      <c r="D31" s="24" t="s">
        <v>107</v>
      </c>
      <c r="E31" s="23" t="s">
        <v>34</v>
      </c>
      <c r="F31" s="24" t="s">
        <v>108</v>
      </c>
      <c r="G31" s="25" t="s">
        <v>109</v>
      </c>
      <c r="H31" s="24" t="s">
        <v>37</v>
      </c>
      <c r="I31" s="25" t="s">
        <v>110</v>
      </c>
    </row>
    <row r="32" ht="28.3" spans="1:9">
      <c r="A32" s="26"/>
      <c r="B32" s="24"/>
      <c r="C32" s="24"/>
      <c r="D32" s="24"/>
      <c r="E32" s="26"/>
      <c r="F32" s="24"/>
      <c r="G32" s="25" t="s">
        <v>111</v>
      </c>
      <c r="H32" s="24" t="s">
        <v>37</v>
      </c>
      <c r="I32" s="25" t="s">
        <v>112</v>
      </c>
    </row>
    <row r="33" ht="28.3" spans="1:9">
      <c r="A33" s="26"/>
      <c r="B33" s="24"/>
      <c r="C33" s="24"/>
      <c r="D33" s="24"/>
      <c r="E33" s="26"/>
      <c r="F33" s="24"/>
      <c r="G33" s="25" t="s">
        <v>113</v>
      </c>
      <c r="H33" s="24" t="s">
        <v>37</v>
      </c>
      <c r="I33" s="25" t="s">
        <v>114</v>
      </c>
    </row>
    <row r="34" ht="14.15" spans="1:9">
      <c r="A34" s="26"/>
      <c r="B34" s="24"/>
      <c r="C34" s="24"/>
      <c r="D34" s="24"/>
      <c r="E34" s="26"/>
      <c r="F34" s="24"/>
      <c r="G34" s="25" t="s">
        <v>115</v>
      </c>
      <c r="H34" s="24" t="s">
        <v>37</v>
      </c>
      <c r="I34" s="25" t="s">
        <v>116</v>
      </c>
    </row>
    <row r="35" ht="14.15" spans="1:9">
      <c r="A35" s="26"/>
      <c r="B35" s="24"/>
      <c r="C35" s="24"/>
      <c r="D35" s="24"/>
      <c r="E35" s="26"/>
      <c r="F35" s="24"/>
      <c r="G35" s="25" t="s">
        <v>117</v>
      </c>
      <c r="H35" s="24" t="s">
        <v>37</v>
      </c>
      <c r="I35" s="25" t="s">
        <v>118</v>
      </c>
    </row>
    <row r="36" ht="14.15" spans="1:9">
      <c r="A36" s="26"/>
      <c r="B36" s="24"/>
      <c r="C36" s="24"/>
      <c r="D36" s="24"/>
      <c r="E36" s="27"/>
      <c r="F36" s="24"/>
      <c r="G36" s="25" t="s">
        <v>119</v>
      </c>
      <c r="H36" s="24" t="s">
        <v>37</v>
      </c>
      <c r="I36" s="25" t="s">
        <v>120</v>
      </c>
    </row>
    <row r="37" ht="16" customHeight="1" spans="1:9">
      <c r="A37" s="26"/>
      <c r="B37" s="24"/>
      <c r="C37" s="24" t="s">
        <v>121</v>
      </c>
      <c r="D37" s="24" t="s">
        <v>122</v>
      </c>
      <c r="E37" s="23" t="s">
        <v>34</v>
      </c>
      <c r="F37" s="24" t="s">
        <v>123</v>
      </c>
      <c r="G37" s="25" t="s">
        <v>124</v>
      </c>
      <c r="H37" s="24" t="s">
        <v>37</v>
      </c>
      <c r="I37" s="25" t="s">
        <v>125</v>
      </c>
    </row>
    <row r="38" ht="16" customHeight="1" spans="1:9">
      <c r="A38" s="26"/>
      <c r="B38" s="24"/>
      <c r="C38" s="24"/>
      <c r="D38" s="24"/>
      <c r="E38" s="26"/>
      <c r="F38" s="24"/>
      <c r="G38" s="25" t="s">
        <v>126</v>
      </c>
      <c r="H38" s="24" t="s">
        <v>37</v>
      </c>
      <c r="I38" s="25" t="s">
        <v>127</v>
      </c>
    </row>
    <row r="39" ht="16" customHeight="1" spans="1:9">
      <c r="A39" s="26"/>
      <c r="B39" s="24"/>
      <c r="C39" s="24"/>
      <c r="D39" s="24"/>
      <c r="E39" s="26"/>
      <c r="F39" s="24"/>
      <c r="G39" s="25" t="s">
        <v>128</v>
      </c>
      <c r="H39" s="24" t="s">
        <v>37</v>
      </c>
      <c r="I39" s="25" t="s">
        <v>129</v>
      </c>
    </row>
    <row r="40" ht="16" customHeight="1" spans="1:9">
      <c r="A40" s="26"/>
      <c r="B40" s="24"/>
      <c r="C40" s="24"/>
      <c r="D40" s="24"/>
      <c r="E40" s="26"/>
      <c r="F40" s="24"/>
      <c r="G40" s="25" t="s">
        <v>130</v>
      </c>
      <c r="H40" s="24" t="s">
        <v>37</v>
      </c>
      <c r="I40" s="25" t="s">
        <v>131</v>
      </c>
    </row>
    <row r="41" ht="16" customHeight="1" spans="1:9">
      <c r="A41" s="26"/>
      <c r="B41" s="24"/>
      <c r="C41" s="24"/>
      <c r="D41" s="24"/>
      <c r="E41" s="26"/>
      <c r="F41" s="24"/>
      <c r="G41" s="25" t="s">
        <v>132</v>
      </c>
      <c r="H41" s="24" t="s">
        <v>37</v>
      </c>
      <c r="I41" s="25" t="s">
        <v>132</v>
      </c>
    </row>
    <row r="42" ht="16" customHeight="1" spans="1:9">
      <c r="A42" s="26"/>
      <c r="B42" s="24"/>
      <c r="C42" s="24"/>
      <c r="D42" s="24"/>
      <c r="E42" s="26"/>
      <c r="F42" s="24"/>
      <c r="G42" s="25" t="s">
        <v>133</v>
      </c>
      <c r="H42" s="24" t="s">
        <v>37</v>
      </c>
      <c r="I42" s="25" t="s">
        <v>134</v>
      </c>
    </row>
    <row r="43" ht="16" customHeight="1" spans="1:9">
      <c r="A43" s="26"/>
      <c r="B43" s="24"/>
      <c r="C43" s="24"/>
      <c r="D43" s="24" t="s">
        <v>135</v>
      </c>
      <c r="E43" s="26"/>
      <c r="F43" s="24" t="s">
        <v>136</v>
      </c>
      <c r="G43" s="25" t="s">
        <v>137</v>
      </c>
      <c r="H43" s="24" t="s">
        <v>37</v>
      </c>
      <c r="I43" s="25" t="s">
        <v>138</v>
      </c>
    </row>
    <row r="44" ht="22" customHeight="1" spans="1:9">
      <c r="A44" s="26"/>
      <c r="B44" s="24"/>
      <c r="C44" s="24"/>
      <c r="D44" s="24"/>
      <c r="E44" s="27"/>
      <c r="F44" s="24"/>
      <c r="G44" s="25" t="s">
        <v>139</v>
      </c>
      <c r="H44" s="24" t="s">
        <v>37</v>
      </c>
      <c r="I44" s="25" t="s">
        <v>140</v>
      </c>
    </row>
    <row r="45" ht="30" customHeight="1" spans="1:9">
      <c r="A45" s="26"/>
      <c r="B45" s="24"/>
      <c r="C45" s="24" t="s">
        <v>141</v>
      </c>
      <c r="D45" s="24" t="s">
        <v>142</v>
      </c>
      <c r="E45" s="23" t="s">
        <v>34</v>
      </c>
      <c r="F45" s="24" t="s">
        <v>143</v>
      </c>
      <c r="G45" s="25" t="s">
        <v>144</v>
      </c>
      <c r="H45" s="24" t="s">
        <v>37</v>
      </c>
      <c r="I45" s="25" t="s">
        <v>145</v>
      </c>
    </row>
    <row r="46" ht="30" customHeight="1" spans="1:9">
      <c r="A46" s="26"/>
      <c r="B46" s="24"/>
      <c r="C46" s="24"/>
      <c r="D46" s="24"/>
      <c r="E46" s="26"/>
      <c r="F46" s="24"/>
      <c r="G46" s="25" t="s">
        <v>146</v>
      </c>
      <c r="H46" s="24" t="s">
        <v>37</v>
      </c>
      <c r="I46" s="25" t="s">
        <v>147</v>
      </c>
    </row>
    <row r="47" ht="30" customHeight="1" spans="1:9">
      <c r="A47" s="26"/>
      <c r="B47" s="24"/>
      <c r="C47" s="24"/>
      <c r="D47" s="24" t="s">
        <v>148</v>
      </c>
      <c r="E47" s="26"/>
      <c r="F47" s="24" t="s">
        <v>149</v>
      </c>
      <c r="G47" s="25" t="s">
        <v>150</v>
      </c>
      <c r="H47" s="24" t="s">
        <v>37</v>
      </c>
      <c r="I47" s="25" t="s">
        <v>151</v>
      </c>
    </row>
    <row r="48" ht="24" customHeight="1" spans="1:9">
      <c r="A48" s="27"/>
      <c r="B48" s="24"/>
      <c r="C48" s="24"/>
      <c r="D48" s="24"/>
      <c r="E48" s="27"/>
      <c r="F48" s="24"/>
      <c r="G48" s="25" t="s">
        <v>152</v>
      </c>
      <c r="H48" s="24" t="s">
        <v>37</v>
      </c>
      <c r="I48" s="25" t="s">
        <v>153</v>
      </c>
    </row>
    <row r="49" ht="36" customHeight="1" spans="1:9">
      <c r="A49" s="26"/>
      <c r="B49" s="24" t="s">
        <v>154</v>
      </c>
      <c r="C49" s="28" t="s">
        <v>155</v>
      </c>
      <c r="D49" s="24" t="s">
        <v>156</v>
      </c>
      <c r="E49" s="23" t="s">
        <v>154</v>
      </c>
      <c r="F49" s="25" t="s">
        <v>157</v>
      </c>
      <c r="G49" s="25" t="s">
        <v>158</v>
      </c>
      <c r="H49" s="24" t="s">
        <v>37</v>
      </c>
      <c r="I49" s="25" t="s">
        <v>159</v>
      </c>
    </row>
    <row r="50" ht="30" customHeight="1" spans="1:9">
      <c r="A50" s="26"/>
      <c r="B50" s="24"/>
      <c r="C50" s="29"/>
      <c r="D50" s="24" t="s">
        <v>160</v>
      </c>
      <c r="E50" s="27"/>
      <c r="F50" s="24" t="s">
        <v>161</v>
      </c>
      <c r="G50" s="25" t="s">
        <v>161</v>
      </c>
      <c r="H50" s="24" t="s">
        <v>37</v>
      </c>
      <c r="I50" s="25" t="s">
        <v>162</v>
      </c>
    </row>
    <row r="51" ht="47" customHeight="1" spans="1:9">
      <c r="A51" s="23" t="s">
        <v>163</v>
      </c>
      <c r="B51" s="24" t="s">
        <v>164</v>
      </c>
      <c r="C51" s="24" t="s">
        <v>33</v>
      </c>
      <c r="D51" s="24" t="s">
        <v>165</v>
      </c>
      <c r="E51" s="23" t="s">
        <v>164</v>
      </c>
      <c r="F51" s="25" t="s">
        <v>166</v>
      </c>
      <c r="G51" s="25" t="s">
        <v>166</v>
      </c>
      <c r="H51" s="24" t="s">
        <v>167</v>
      </c>
      <c r="I51" s="25" t="s">
        <v>168</v>
      </c>
    </row>
    <row r="52" ht="47" customHeight="1" spans="1:9">
      <c r="A52" s="26"/>
      <c r="B52" s="24"/>
      <c r="C52" s="24"/>
      <c r="D52" s="24" t="s">
        <v>169</v>
      </c>
      <c r="E52" s="26"/>
      <c r="F52" s="25" t="s">
        <v>170</v>
      </c>
      <c r="G52" s="25" t="s">
        <v>171</v>
      </c>
      <c r="H52" s="24" t="s">
        <v>37</v>
      </c>
      <c r="I52" s="25" t="s">
        <v>172</v>
      </c>
    </row>
    <row r="53" ht="52" customHeight="1" spans="1:9">
      <c r="A53" s="26"/>
      <c r="B53" s="24"/>
      <c r="C53" s="24"/>
      <c r="D53" s="24" t="s">
        <v>173</v>
      </c>
      <c r="E53" s="26"/>
      <c r="F53" s="24" t="s">
        <v>174</v>
      </c>
      <c r="G53" s="25" t="s">
        <v>175</v>
      </c>
      <c r="H53" s="24" t="s">
        <v>37</v>
      </c>
      <c r="I53" s="25" t="s">
        <v>176</v>
      </c>
    </row>
    <row r="54" ht="52" customHeight="1" spans="1:9">
      <c r="A54" s="26"/>
      <c r="B54" s="24"/>
      <c r="C54" s="24"/>
      <c r="D54" s="24"/>
      <c r="E54" s="26"/>
      <c r="F54" s="24"/>
      <c r="G54" s="25" t="s">
        <v>177</v>
      </c>
      <c r="H54" s="24" t="s">
        <v>37</v>
      </c>
      <c r="I54" s="25" t="s">
        <v>178</v>
      </c>
    </row>
    <row r="55" ht="39" customHeight="1" spans="1:9">
      <c r="A55" s="26"/>
      <c r="B55" s="24"/>
      <c r="C55" s="24"/>
      <c r="D55" s="24" t="s">
        <v>179</v>
      </c>
      <c r="E55" s="26"/>
      <c r="F55" s="25" t="s">
        <v>180</v>
      </c>
      <c r="G55" s="25" t="s">
        <v>181</v>
      </c>
      <c r="H55" s="24" t="s">
        <v>37</v>
      </c>
      <c r="I55" s="25" t="s">
        <v>182</v>
      </c>
    </row>
    <row r="56" ht="34" customHeight="1" spans="1:9">
      <c r="A56" s="26"/>
      <c r="B56" s="24"/>
      <c r="C56" s="24"/>
      <c r="D56" s="24" t="s">
        <v>183</v>
      </c>
      <c r="E56" s="26"/>
      <c r="F56" s="25" t="s">
        <v>184</v>
      </c>
      <c r="G56" s="25" t="s">
        <v>185</v>
      </c>
      <c r="H56" s="24" t="s">
        <v>37</v>
      </c>
      <c r="I56" s="25" t="s">
        <v>186</v>
      </c>
    </row>
    <row r="57" ht="41" customHeight="1" spans="1:9">
      <c r="A57" s="26"/>
      <c r="B57" s="24"/>
      <c r="C57" s="24"/>
      <c r="D57" s="24" t="s">
        <v>148</v>
      </c>
      <c r="E57" s="27"/>
      <c r="F57" s="25" t="s">
        <v>187</v>
      </c>
      <c r="G57" s="25" t="s">
        <v>188</v>
      </c>
      <c r="H57" s="24" t="s">
        <v>37</v>
      </c>
      <c r="I57" s="25" t="s">
        <v>189</v>
      </c>
    </row>
  </sheetData>
  <mergeCells count="48">
    <mergeCell ref="A2:A48"/>
    <mergeCell ref="A51:A57"/>
    <mergeCell ref="B2:B48"/>
    <mergeCell ref="B49:B50"/>
    <mergeCell ref="B51:B57"/>
    <mergeCell ref="C2:C12"/>
    <mergeCell ref="C13:C24"/>
    <mergeCell ref="C25:C30"/>
    <mergeCell ref="C31:C36"/>
    <mergeCell ref="C37:C44"/>
    <mergeCell ref="C45:C48"/>
    <mergeCell ref="C49:C50"/>
    <mergeCell ref="C51:C57"/>
    <mergeCell ref="D2:D8"/>
    <mergeCell ref="D9:D12"/>
    <mergeCell ref="D13:D18"/>
    <mergeCell ref="D19:D24"/>
    <mergeCell ref="D25:D27"/>
    <mergeCell ref="D28:D30"/>
    <mergeCell ref="D31:D36"/>
    <mergeCell ref="D37:D42"/>
    <mergeCell ref="D43:D44"/>
    <mergeCell ref="D45:D46"/>
    <mergeCell ref="D47:D48"/>
    <mergeCell ref="D53:D54"/>
    <mergeCell ref="E2:E8"/>
    <mergeCell ref="E9:E12"/>
    <mergeCell ref="E13:E18"/>
    <mergeCell ref="E19:E24"/>
    <mergeCell ref="E25:E27"/>
    <mergeCell ref="E28:E30"/>
    <mergeCell ref="E31:E36"/>
    <mergeCell ref="E37:E44"/>
    <mergeCell ref="E45:E48"/>
    <mergeCell ref="E49:E50"/>
    <mergeCell ref="E51:E57"/>
    <mergeCell ref="F2:F8"/>
    <mergeCell ref="F9:F12"/>
    <mergeCell ref="F13:F18"/>
    <mergeCell ref="F19:F24"/>
    <mergeCell ref="F25:F27"/>
    <mergeCell ref="F28:F30"/>
    <mergeCell ref="F31:F36"/>
    <mergeCell ref="F37:F42"/>
    <mergeCell ref="F43:F44"/>
    <mergeCell ref="F45:F46"/>
    <mergeCell ref="F47:F48"/>
    <mergeCell ref="F53:F54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selection activeCell="B2" sqref="B2"/>
    </sheetView>
  </sheetViews>
  <sheetFormatPr defaultColWidth="8.61261261261261" defaultRowHeight="14.1" outlineLevelCol="3"/>
  <cols>
    <col min="1" max="1" width="30.981981981982" style="1" customWidth="1"/>
    <col min="2" max="2" width="106.297297297297" style="1" customWidth="1"/>
  </cols>
  <sheetData>
    <row r="1" s="2" customFormat="1" ht="42" customHeight="1" spans="1:4">
      <c r="A1" s="4" t="s">
        <v>6</v>
      </c>
      <c r="B1" s="4" t="s">
        <v>7</v>
      </c>
    </row>
    <row r="2" customFormat="1" ht="33" customHeight="1" spans="1:4">
      <c r="A2" s="5" t="s">
        <v>190</v>
      </c>
      <c r="B2" s="5" t="s">
        <v>191</v>
      </c>
    </row>
    <row r="3" ht="33" customHeight="1" spans="1:4">
      <c r="A3" s="5" t="s">
        <v>192</v>
      </c>
      <c r="B3" s="5" t="s">
        <v>193</v>
      </c>
      <c r="D3" t="s">
        <v>194</v>
      </c>
    </row>
    <row r="4" ht="45" customHeight="1" spans="1:4">
      <c r="A4" s="14" t="s">
        <v>195</v>
      </c>
      <c r="B4" s="14" t="s">
        <v>196</v>
      </c>
    </row>
    <row r="5" ht="45" customHeight="1" spans="1:4">
      <c r="A5" s="5" t="s">
        <v>197</v>
      </c>
      <c r="B5" s="5" t="s">
        <v>198</v>
      </c>
    </row>
    <row r="6" ht="254" customHeight="1" spans="1:4">
      <c r="A6" s="5" t="s">
        <v>199</v>
      </c>
      <c r="B6" s="19" t="s">
        <v>200</v>
      </c>
    </row>
    <row r="7" ht="56" customHeight="1" spans="1:4">
      <c r="A7" s="5" t="s">
        <v>201</v>
      </c>
      <c r="B7" s="5" t="s">
        <v>202</v>
      </c>
    </row>
    <row r="8" ht="36" customHeight="1" spans="1:4">
      <c r="A8" s="5" t="s">
        <v>203</v>
      </c>
      <c r="B8" s="5" t="s">
        <v>204</v>
      </c>
    </row>
    <row r="9" ht="36" customHeight="1" spans="1:4">
      <c r="A9" s="5" t="s">
        <v>205</v>
      </c>
      <c r="B9" s="5">
        <v>1</v>
      </c>
    </row>
    <row r="10" ht="27" customHeight="1" spans="1:4">
      <c r="A10" s="5" t="s">
        <v>206</v>
      </c>
      <c r="B10" s="5" t="s">
        <v>207</v>
      </c>
    </row>
  </sheetData>
  <pageMargins left="0.75" right="0.75" top="1" bottom="1" header="0.5" footer="0.5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8"/>
  <sheetViews>
    <sheetView workbookViewId="0">
      <selection activeCell="B13" sqref="B13"/>
    </sheetView>
  </sheetViews>
  <sheetFormatPr defaultColWidth="8.61261261261261" defaultRowHeight="14.1" outlineLevelCol="1"/>
  <cols>
    <col min="1" max="1" width="45.6576576576577" style="1" customWidth="1"/>
    <col min="2" max="2" width="104.45045045045" style="1" customWidth="1"/>
    <col min="3" max="3" width="53.2072072072072" style="1" customWidth="1"/>
    <col min="4" max="16384" width="8.61261261261261" style="1"/>
  </cols>
  <sheetData>
    <row r="1" ht="31" customHeight="1" spans="1:2">
      <c r="A1" s="4" t="s">
        <v>6</v>
      </c>
      <c r="B1" s="4" t="s">
        <v>7</v>
      </c>
    </row>
    <row r="2" ht="61" customHeight="1" spans="1:2">
      <c r="A2" s="5" t="s">
        <v>190</v>
      </c>
      <c r="B2" s="10" t="s">
        <v>208</v>
      </c>
    </row>
    <row r="3" ht="61" customHeight="1" spans="1:2">
      <c r="A3" s="5" t="s">
        <v>209</v>
      </c>
      <c r="B3" s="10" t="s">
        <v>210</v>
      </c>
    </row>
    <row r="4" ht="61" customHeight="1" spans="1:2">
      <c r="A4" s="5" t="s">
        <v>211</v>
      </c>
      <c r="B4" s="5" t="s">
        <v>212</v>
      </c>
    </row>
    <row r="5" ht="37" customHeight="1" spans="1:2">
      <c r="A5" s="5" t="s">
        <v>213</v>
      </c>
      <c r="B5" s="5" t="s">
        <v>214</v>
      </c>
    </row>
    <row r="6" ht="66" customHeight="1" spans="1:2">
      <c r="A6" s="14" t="s">
        <v>215</v>
      </c>
      <c r="B6" s="16">
        <v>45809</v>
      </c>
    </row>
    <row r="7" customFormat="1" ht="70.7" spans="1:2">
      <c r="A7" s="17" t="s">
        <v>216</v>
      </c>
      <c r="B7" s="18" t="s">
        <v>217</v>
      </c>
    </row>
    <row r="8" customFormat="1" ht="24" customHeight="1" spans="1:2">
      <c r="A8" s="5" t="s">
        <v>218</v>
      </c>
      <c r="B8" s="5" t="s">
        <v>219</v>
      </c>
    </row>
    <row r="9" customFormat="1" ht="127.3" spans="1:2">
      <c r="A9" s="17" t="s">
        <v>220</v>
      </c>
      <c r="B9" s="18" t="s">
        <v>221</v>
      </c>
    </row>
    <row r="10" customFormat="1" spans="1:2">
      <c r="A10" s="14"/>
      <c r="B10" s="14"/>
    </row>
    <row r="11" customFormat="1" spans="1:2">
      <c r="A11" s="14"/>
      <c r="B11" s="14"/>
    </row>
    <row r="12" customFormat="1" spans="1:2">
      <c r="A12" s="14"/>
      <c r="B12" s="14"/>
    </row>
    <row r="13" spans="1:2">
      <c r="A13" s="14"/>
      <c r="B13" s="14"/>
    </row>
    <row r="14" spans="1:2">
      <c r="A14" s="14"/>
      <c r="B14" s="14"/>
    </row>
    <row r="15" spans="1:2">
      <c r="A15" s="14"/>
      <c r="B15" s="14"/>
    </row>
    <row r="16" spans="1:2">
      <c r="A16" s="14"/>
      <c r="B16" s="14"/>
    </row>
    <row r="17" spans="1:2">
      <c r="A17" s="14"/>
      <c r="B17" s="14"/>
    </row>
    <row r="18" spans="1:2">
      <c r="A18" s="14"/>
      <c r="B18" s="14"/>
    </row>
  </sheetData>
  <pageMargins left="0.75" right="0.75" top="1" bottom="1" header="0.5" footer="0.5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pane ySplit="1" topLeftCell="A2" activePane="bottomLeft" state="frozen"/>
      <selection/>
      <selection pane="bottomLeft" activeCell="B21" sqref="B21:B22"/>
    </sheetView>
  </sheetViews>
  <sheetFormatPr defaultColWidth="8.61261261261261" defaultRowHeight="14.1" outlineLevelRow="4" outlineLevelCol="1"/>
  <cols>
    <col min="1" max="1" width="29.8108108108108" customWidth="1"/>
    <col min="2" max="2" width="14.981981981982" customWidth="1"/>
  </cols>
  <sheetData>
    <row r="1" ht="43" customHeight="1" spans="1:2">
      <c r="A1" s="4" t="s">
        <v>6</v>
      </c>
      <c r="B1" s="4" t="s">
        <v>222</v>
      </c>
    </row>
    <row r="2" ht="54" customHeight="1" spans="1:2">
      <c r="A2" s="14" t="s">
        <v>223</v>
      </c>
      <c r="B2" s="14">
        <v>176</v>
      </c>
    </row>
    <row r="3" ht="54" customHeight="1" spans="1:2">
      <c r="A3" s="15" t="s">
        <v>224</v>
      </c>
      <c r="B3" s="15">
        <v>0</v>
      </c>
    </row>
    <row r="4" ht="54" customHeight="1" spans="1:2">
      <c r="A4" s="5" t="s">
        <v>225</v>
      </c>
      <c r="B4" s="5">
        <v>1.5</v>
      </c>
    </row>
    <row r="5" ht="54" customHeight="1" spans="1:2">
      <c r="A5" s="15" t="s">
        <v>226</v>
      </c>
      <c r="B5" s="15">
        <f>B3*B4</f>
        <v>0</v>
      </c>
    </row>
  </sheetData>
  <pageMargins left="0.75" right="0.75" top="1" bottom="1" header="0.5" footer="0.5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3"/>
  <sheetViews>
    <sheetView workbookViewId="0">
      <selection activeCell="I8" sqref="I8"/>
    </sheetView>
  </sheetViews>
  <sheetFormatPr defaultColWidth="8.61261261261261" defaultRowHeight="14.1" outlineLevelCol="1"/>
  <cols>
    <col min="1" max="1" width="24.4774774774775" style="1" customWidth="1"/>
    <col min="2" max="2" width="88.2702702702703" style="1" customWidth="1"/>
  </cols>
  <sheetData>
    <row r="1" s="1" customFormat="1" ht="31" customHeight="1" spans="1:2">
      <c r="A1" s="4" t="s">
        <v>6</v>
      </c>
      <c r="B1" s="4" t="s">
        <v>7</v>
      </c>
    </row>
    <row r="2" s="1" customFormat="1" ht="61" customHeight="1" spans="1:2">
      <c r="A2" s="5" t="s">
        <v>190</v>
      </c>
      <c r="B2" s="10" t="s">
        <v>227</v>
      </c>
    </row>
    <row r="3" ht="24" customHeight="1" spans="1:2">
      <c r="A3" s="5" t="s">
        <v>228</v>
      </c>
      <c r="B3" s="5" t="s">
        <v>219</v>
      </c>
    </row>
    <row r="4" ht="30" customHeight="1" spans="1:2">
      <c r="A4" s="5" t="s">
        <v>229</v>
      </c>
      <c r="B4" s="13" t="s">
        <v>230</v>
      </c>
    </row>
    <row r="5" ht="72" customHeight="1" spans="1:2">
      <c r="A5" s="5" t="s">
        <v>231</v>
      </c>
      <c r="B5" s="13" t="s">
        <v>232</v>
      </c>
    </row>
    <row r="6" ht="24" customHeight="1" spans="1:2">
      <c r="A6" s="5" t="s">
        <v>233</v>
      </c>
      <c r="B6" s="5" t="s">
        <v>234</v>
      </c>
    </row>
    <row r="7" ht="24" customHeight="1" spans="1:2">
      <c r="A7" s="5" t="s">
        <v>235</v>
      </c>
      <c r="B7" s="5" t="s">
        <v>236</v>
      </c>
    </row>
    <row r="8" ht="24" customHeight="1" spans="1:2">
      <c r="A8" s="14"/>
      <c r="B8" s="14"/>
    </row>
    <row r="9" ht="24" customHeight="1" spans="1:2">
      <c r="A9" s="14"/>
      <c r="B9" s="14"/>
    </row>
    <row r="10" ht="24" customHeight="1" spans="1:2">
      <c r="A10" s="14"/>
      <c r="B10" s="14"/>
    </row>
    <row r="11" ht="24" customHeight="1" spans="1:2">
      <c r="A11" s="14"/>
      <c r="B11" s="14"/>
    </row>
    <row r="12" ht="24" customHeight="1" spans="1:2">
      <c r="A12" s="14"/>
      <c r="B12" s="14"/>
    </row>
    <row r="13" ht="24" customHeight="1" spans="1:2">
      <c r="A13" s="14"/>
      <c r="B13" s="14"/>
    </row>
    <row r="14" ht="24" customHeight="1" spans="1:2">
      <c r="A14" s="14"/>
      <c r="B14" s="14"/>
    </row>
    <row r="15" ht="24" customHeight="1" spans="1:2">
      <c r="A15" s="14"/>
      <c r="B15" s="14"/>
    </row>
    <row r="16" ht="24" customHeight="1" spans="1:2">
      <c r="A16" s="14"/>
      <c r="B16" s="14"/>
    </row>
    <row r="17" ht="24" customHeight="1" spans="1:2">
      <c r="A17" s="14"/>
      <c r="B17" s="14"/>
    </row>
    <row r="18" ht="24" customHeight="1" spans="1:2">
      <c r="A18" s="14"/>
      <c r="B18" s="14"/>
    </row>
    <row r="19" ht="24" customHeight="1" spans="1:2">
      <c r="A19" s="14"/>
      <c r="B19" s="14"/>
    </row>
    <row r="20" ht="24" customHeight="1" spans="1:2">
      <c r="A20" s="14"/>
      <c r="B20" s="14"/>
    </row>
    <row r="21" ht="24" customHeight="1" spans="1:2">
      <c r="A21" s="14"/>
      <c r="B21" s="14"/>
    </row>
    <row r="22" ht="24" customHeight="1" spans="1:2">
      <c r="A22" s="14"/>
      <c r="B22" s="14"/>
    </row>
    <row r="23" ht="24" customHeight="1" spans="1:2">
      <c r="A23" s="14"/>
      <c r="B23" s="14"/>
    </row>
  </sheetData>
  <pageMargins left="0.75" right="0.75" top="1" bottom="1" header="0.5" footer="0.5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8"/>
  <sheetViews>
    <sheetView tabSelected="1" workbookViewId="0">
      <selection activeCell="D6" sqref="D6"/>
    </sheetView>
  </sheetViews>
  <sheetFormatPr defaultColWidth="8.61261261261261" defaultRowHeight="14.1" outlineLevelCol="1"/>
  <cols>
    <col min="1" max="1" width="39.3693693693694" style="7" customWidth="1"/>
    <col min="2" max="2" width="89.4684684684685" style="1" customWidth="1"/>
  </cols>
  <sheetData>
    <row r="1" ht="37" customHeight="1" spans="1:2">
      <c r="A1" s="8" t="s">
        <v>6</v>
      </c>
      <c r="B1" s="4" t="s">
        <v>7</v>
      </c>
    </row>
    <row r="2" ht="37" customHeight="1" spans="1:2">
      <c r="A2" s="9" t="s">
        <v>190</v>
      </c>
      <c r="B2" s="10" t="s">
        <v>237</v>
      </c>
    </row>
    <row r="3" ht="24" customHeight="1" spans="1:2">
      <c r="A3" s="11" t="s">
        <v>238</v>
      </c>
      <c r="B3" s="5" t="s">
        <v>239</v>
      </c>
    </row>
    <row r="4" ht="24" customHeight="1" spans="1:2">
      <c r="A4" s="11" t="s">
        <v>240</v>
      </c>
      <c r="B4" s="5" t="s">
        <v>219</v>
      </c>
    </row>
    <row r="5" ht="24" customHeight="1" spans="1:2">
      <c r="A5" s="11" t="s">
        <v>241</v>
      </c>
      <c r="B5" s="5" t="s">
        <v>242</v>
      </c>
    </row>
    <row r="6" ht="24" customHeight="1" spans="1:2">
      <c r="A6" s="11" t="s">
        <v>243</v>
      </c>
      <c r="B6" s="5" t="s">
        <v>244</v>
      </c>
    </row>
    <row r="7" ht="24" customHeight="1" spans="1:2">
      <c r="A7" s="11" t="s">
        <v>245</v>
      </c>
      <c r="B7" s="5" t="s">
        <v>246</v>
      </c>
    </row>
    <row r="8" ht="24" customHeight="1" spans="1:2">
      <c r="A8" s="11" t="s">
        <v>247</v>
      </c>
      <c r="B8" s="5" t="s">
        <v>248</v>
      </c>
    </row>
    <row r="9" ht="24" customHeight="1" spans="1:2">
      <c r="A9" s="11" t="s">
        <v>249</v>
      </c>
      <c r="B9" s="5" t="s">
        <v>250</v>
      </c>
    </row>
    <row r="10" ht="24" customHeight="1" spans="1:2">
      <c r="A10" s="11" t="s">
        <v>251</v>
      </c>
      <c r="B10" s="5" t="s">
        <v>252</v>
      </c>
    </row>
    <row r="11" ht="24" customHeight="1" spans="1:2">
      <c r="A11" s="11" t="s">
        <v>253</v>
      </c>
      <c r="B11" s="5">
        <v>13950406998</v>
      </c>
    </row>
    <row r="12" ht="24" customHeight="1" spans="1:2">
      <c r="A12" s="12" t="s">
        <v>254</v>
      </c>
      <c r="B12" s="3">
        <f>'5、预估工作量-元数据录入'!B3</f>
        <v>0</v>
      </c>
    </row>
    <row r="13" ht="24" customHeight="1" spans="1:2">
      <c r="A13" s="12" t="s">
        <v>255</v>
      </c>
      <c r="B13" s="3"/>
    </row>
    <row r="14" ht="24" customHeight="1" spans="1:2">
      <c r="A14" s="11" t="s">
        <v>256</v>
      </c>
      <c r="B14" s="5" t="s">
        <v>257</v>
      </c>
    </row>
    <row r="15" ht="24" customHeight="1" spans="1:2">
      <c r="A15" s="11" t="s">
        <v>258</v>
      </c>
      <c r="B15" s="5" t="s">
        <v>219</v>
      </c>
    </row>
    <row r="16" ht="24" customHeight="1" spans="1:2">
      <c r="A16" s="11" t="s">
        <v>259</v>
      </c>
      <c r="B16" s="5" t="s">
        <v>260</v>
      </c>
    </row>
    <row r="17" ht="24" customHeight="1" spans="1:2">
      <c r="A17" s="12" t="s">
        <v>261</v>
      </c>
      <c r="B17" s="3">
        <f>'5、预估工作量-元数据录入'!B3</f>
        <v>0</v>
      </c>
    </row>
    <row r="18" ht="24" customHeight="1" spans="1:2">
      <c r="A18" s="12" t="s">
        <v>262</v>
      </c>
      <c r="B18" s="3"/>
    </row>
  </sheetData>
  <pageMargins left="0.75" right="0.75" top="1" bottom="1" header="0.5" footer="0.5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H31" sqref="H31"/>
    </sheetView>
  </sheetViews>
  <sheetFormatPr defaultColWidth="8.61261261261261" defaultRowHeight="14.1" outlineLevelRow="4" outlineLevelCol="1"/>
  <cols>
    <col min="1" max="1" width="24.1801801801802" style="1" customWidth="1"/>
    <col min="2" max="2" width="44.5495495495495" customWidth="1"/>
  </cols>
  <sheetData>
    <row r="1" ht="47" customHeight="1" spans="1:2">
      <c r="A1" s="4" t="s">
        <v>263</v>
      </c>
      <c r="B1" s="4" t="s">
        <v>264</v>
      </c>
    </row>
    <row r="2" ht="24" customHeight="1" spans="1:2">
      <c r="A2" s="5" t="s">
        <v>265</v>
      </c>
      <c r="B2" s="6" t="s">
        <v>266</v>
      </c>
    </row>
    <row r="3" ht="24" customHeight="1" spans="1:2">
      <c r="A3" s="5" t="s">
        <v>267</v>
      </c>
      <c r="B3" s="6" t="s">
        <v>268</v>
      </c>
    </row>
    <row r="4" ht="24" customHeight="1" spans="1:2">
      <c r="A4" s="5" t="s">
        <v>269</v>
      </c>
      <c r="B4" s="6" t="s">
        <v>270</v>
      </c>
    </row>
    <row r="5" ht="24" customHeight="1" spans="1:2">
      <c r="A5" s="5" t="s">
        <v>271</v>
      </c>
      <c r="B5" s="6" t="s">
        <v>272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D2" sqref="D2"/>
    </sheetView>
  </sheetViews>
  <sheetFormatPr defaultColWidth="8.61261261261261" defaultRowHeight="14.1" outlineLevelRow="5" outlineLevelCol="1"/>
  <cols>
    <col min="1" max="1" width="18.5495495495495" style="1" customWidth="1"/>
    <col min="2" max="2" width="10.2612612612613" style="1" customWidth="1"/>
  </cols>
  <sheetData>
    <row r="1" ht="24" customHeight="1" spans="1:2">
      <c r="A1" s="2" t="s">
        <v>6</v>
      </c>
      <c r="B1" s="2" t="s">
        <v>222</v>
      </c>
    </row>
    <row r="2" ht="27" customHeight="1" spans="1:2">
      <c r="A2" s="3" t="s">
        <v>273</v>
      </c>
      <c r="B2" s="3">
        <f>COUNTA('2、功能清单-内容录入'!A:A)-1</f>
        <v>2</v>
      </c>
    </row>
    <row r="3" ht="32" customHeight="1" spans="1:2">
      <c r="A3" s="3" t="s">
        <v>274</v>
      </c>
      <c r="B3" s="3">
        <f>COUNTA('2、功能清单-内容录入'!B:B)-1</f>
        <v>3</v>
      </c>
    </row>
    <row r="4" ht="43" customHeight="1" spans="1:2">
      <c r="A4" s="3" t="s">
        <v>275</v>
      </c>
      <c r="B4" s="3">
        <f>COUNTA('2、功能清单-内容录入'!C:C)-1</f>
        <v>8</v>
      </c>
    </row>
    <row r="5" ht="42" customHeight="1" spans="1:2">
      <c r="A5" s="3" t="s">
        <v>276</v>
      </c>
      <c r="B5" s="3">
        <f>COUNTA('2、功能清单-内容录入'!D:D)-1</f>
        <v>19</v>
      </c>
    </row>
    <row r="6" ht="45" customHeight="1" spans="1:2">
      <c r="A6" s="3" t="s">
        <v>277</v>
      </c>
      <c r="B6" s="3">
        <f>COUNTA('2、功能清单-内容录入'!G:G)-1</f>
        <v>56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模板说明</vt:lpstr>
      <vt:lpstr>1、工单需求-元数据录入</vt:lpstr>
      <vt:lpstr>2、功能清单-内容录入</vt:lpstr>
      <vt:lpstr>3、FPA工作量评估-元数据录入</vt:lpstr>
      <vt:lpstr>4、项目需求说明书-元数据录入</vt:lpstr>
      <vt:lpstr>5、预估工作量-元数据录入</vt:lpstr>
      <vt:lpstr>6、项目功能点拆分表-元数据录入</vt:lpstr>
      <vt:lpstr>7、项目需求清单-元数据录入</vt:lpstr>
      <vt:lpstr>8、各文档-模板路径录入</vt:lpstr>
      <vt:lpstr>9、测试-元数据自动统计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31646</dc:creator>
  <cp:lastModifiedBy>叮当猫</cp:lastModifiedBy>
  <dcterms:created xsi:type="dcterms:W3CDTF">2026-03-18T03:55:00Z</dcterms:created>
  <dcterms:modified xsi:type="dcterms:W3CDTF">2026-05-10T04:27:39Z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7607E4B333D64D5693236E867272426E_11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