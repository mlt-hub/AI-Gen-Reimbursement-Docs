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065" windowHeight="14725" tabRatio="691"/>
  </bookViews>
  <sheets>
    <sheet name="FPA功能点估算" sheetId="30" r:id="rId1"/>
    <sheet name="附录1-FPA评估方法说明" sheetId="25" r:id="rId2"/>
    <sheet name="附录2-软需工作量参考附录" sheetId="29" r:id="rId3"/>
    <sheet name="附录3-字典表" sheetId="21" r:id="rId4"/>
    <sheet name="附录4-资产分域" sheetId="28" r:id="rId5"/>
  </sheets>
  <externalReferences>
    <externalReference r:id="rId6"/>
    <externalReference r:id="rId7"/>
  </externalReferences>
  <definedNames>
    <definedName name="MmExcelLinker_906C69A3_41FD_4973_9FB2_54559DEDE127">业务卡全生命周期管理项目功能点估算-[1]大展!$B$3:$E$288</definedName>
    <definedName name="每秒最大访问次数">[2]主机估算基础!$B$5</definedName>
    <definedName name="每秒最大认证次数">[2]主机估算基础!$B$4</definedName>
    <definedName name="每月访问量">[2]主机估算基础!$B$3</definedName>
    <definedName name="网站用户数">[2]主机估算基础!$B$2</definedName>
    <definedName name="自助终端最大并发访问">[2]主机估算基础!$B$6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coolcoolhua</author>
  </authors>
  <commentList>
    <comment ref="H2" authorId="0">
      <text>
        <r>
          <rPr>
            <b/>
            <sz val="9"/>
            <rFont val="Tahoma"/>
            <charset val="254"/>
          </rPr>
          <t>admin:</t>
        </r>
        <r>
          <rPr>
            <sz val="9"/>
            <rFont val="Tahoma"/>
            <charset val="254"/>
          </rPr>
          <t xml:space="preserve">
</t>
        </r>
        <r>
          <rPr>
            <sz val="9"/>
            <rFont val="宋体"/>
            <charset val="254"/>
          </rPr>
          <t>修改功能点的复杂度不能超过基准值</t>
        </r>
        <r>
          <rPr>
            <sz val="9"/>
            <rFont val="Tahoma"/>
            <charset val="254"/>
          </rPr>
          <t>60%.</t>
        </r>
      </text>
    </comment>
    <comment ref="I2" authorId="1">
      <text>
        <r>
          <rPr>
            <sz val="9"/>
            <rFont val="宋体"/>
            <charset val="254"/>
          </rPr>
          <t>不可编辑</t>
        </r>
      </text>
    </comment>
    <comment ref="L2" authorId="1">
      <text>
        <r>
          <rPr>
            <sz val="9"/>
            <rFont val="宋体"/>
            <charset val="254"/>
          </rPr>
          <t>有公式，不要编辑</t>
        </r>
      </text>
    </comment>
  </commentList>
</comments>
</file>

<file path=xl/sharedStrings.xml><?xml version="1.0" encoding="utf-8"?>
<sst xmlns="http://schemas.openxmlformats.org/spreadsheetml/2006/main" count="1401" uniqueCount="825">
  <si>
    <t>合计：</t>
  </si>
  <si>
    <t>序号</t>
  </si>
  <si>
    <t>子系统(模块)</t>
  </si>
  <si>
    <t>资产标识</t>
  </si>
  <si>
    <t>新增/修改功能点</t>
  </si>
  <si>
    <t>类型</t>
  </si>
  <si>
    <t>计算依据归类</t>
  </si>
  <si>
    <t>计算依据说明，记录关键信息如：事件流、业务规则、业务数据、非功能性规约、表、服务、接口等内容</t>
  </si>
  <si>
    <t>变更状态</t>
  </si>
  <si>
    <t>基准值</t>
  </si>
  <si>
    <t>调整值</t>
  </si>
  <si>
    <t>要素数量</t>
  </si>
  <si>
    <t>FPA工作量</t>
  </si>
  <si>
    <t>核减后工作量</t>
  </si>
  <si>
    <t>备注说明</t>
  </si>
  <si>
    <t>和乐业</t>
  </si>
  <si>
    <t>YXGJ-CZHY-01</t>
  </si>
  <si>
    <t>【地市后台】垂直行业管理-垂直行业列表界面开发</t>
  </si>
  <si>
    <t>EI</t>
  </si>
  <si>
    <t>EI:1)修改或增加界面的个数</t>
  </si>
  <si>
    <t>【地市后台】垂直行业管理-垂直行业列表界面新增，具体如下：
1、新增垂直行业列表界面，包含搜索（垂直行业名称、查询按钮、重置按钮）、添加垂直行业按钮
2、列表（序号、垂直行业名称、添加时间、状态、操作）
3、列表翻页功能
4、调用垂直行业列表数据展示接口</t>
  </si>
  <si>
    <t>新增</t>
  </si>
  <si>
    <t>【地市后台】垂直行业管理-垂直行业列表界面数据展示接口开发</t>
  </si>
  <si>
    <t>ILF</t>
  </si>
  <si>
    <t>ILF:2)计费处理用到的文件、内存表的个数</t>
  </si>
  <si>
    <t>【地市后台】垂直行业管理-垂直行业列表界面数据展示接口开发，具体如下：
1、垂直行业列表界面数据展示接口开发
2、将数据返回至前端进行展示</t>
  </si>
  <si>
    <t>【地市后台】垂直行业管理-垂直行业列表新增界面开发</t>
  </si>
  <si>
    <t>【地市后台】垂直行业管理-垂直行业列表新增界面开发，具体如下：
1、点击添加垂直行业按钮跳转至添加界面，要素包含垂直行业名称、确认按钮、返回按钮
2、提交时校验页面必填项
3、点击返回按钮关闭弹窗
4、调用垂直行业列表数据新增接口</t>
  </si>
  <si>
    <t>【地市后台】垂直行业管理-垂直行业列表新增接口开发</t>
  </si>
  <si>
    <t>【地市后台】垂直行业管理-垂直行业列表新增接口开发，具体如下：
1、垂直行业列表新增接口开发
2、新增垂直行业数据表
3、接收前端传输的数据并存储至数据表中</t>
  </si>
  <si>
    <t>【地市后台】垂直行业管理-垂直行业列表编辑界面开发</t>
  </si>
  <si>
    <t>【地市后台】垂直行业管理-垂直行业列表编辑界面开发，具体如下：
1、点击编辑按钮跳转至编辑界面，要素包含垂直行业名称、确认按钮、返回按钮
2、提交时校验页面必填项
3、点击返回关闭弹窗
4、调用垂直行业数据编辑接口</t>
  </si>
  <si>
    <t>【地市后台】垂直行业管理-垂直行业列表编辑接口开发</t>
  </si>
  <si>
    <t>【地市后台】垂直行业管理-垂直行业列表编辑接口开发，具体如下：
1、垂直行业管理-垂直行业列表编辑接口开发
2、接收前端传输的数据并存储至数据表中</t>
  </si>
  <si>
    <t>【地市后台】垂直行业管理-垂直行业列表删除服务</t>
  </si>
  <si>
    <t>【地市后台】垂直行业管理-垂直行业列表删除接口开发，具体如下：
1、点击删除按钮，传输当前数据的ID
2、新增列表删除接口
3、后端接收前端传输的接口并匹配及删除对应数据</t>
  </si>
  <si>
    <t>【地市后台】垂直行业管理-垂直行业列表数据查询服务</t>
  </si>
  <si>
    <t>【地市后台】垂直行业管理-垂直行业列表数据查询服务，具体如下：
1、查询条件为垂直行业名称
2、根据当前查询的值返回列表数据，包含序号、垂直行业名称、添加时间、状态</t>
  </si>
  <si>
    <t>【地市后台】垂直行业管理-垂直行业管理员界面开发</t>
  </si>
  <si>
    <t>【地市后台】垂直行业管理-垂直行业管理员界面开发，具体如下：
1、新增垂直行业管理员功能界面，要素包含搜索（管理员名称、管理员手机号、关联行业、查询按钮、重置按钮）、添加管理员按钮
2、列表数据（序号、管理员、管理员手机号、关联行业、添加时间、操作）
3、列表翻页功能
4、调用垂直行业管理员列表数据展示接口</t>
  </si>
  <si>
    <t>【地市后台】垂直行业管理-垂直行业管理员界面数据展示接口开发</t>
  </si>
  <si>
    <t>【地市后台】垂直行业管理-垂直行业管理员界面数据展示接口开发，具体如下：
1、垂直行业管理-垂直行业管理员界面数据展示接口开发
2、将数据返回至前端进行展示</t>
  </si>
  <si>
    <t>【地市后台】垂直行业管理-垂直行业管理员新增界面开发</t>
  </si>
  <si>
    <t>【地市后台】垂直行业管理-垂直行业管理员新增界面开发，具体如下：
1、点击添加管理员按钮弹出垂直行业管理员新增界面要素包含、手机号、名称、关联垂直行业
2、确认按钮、取消按钮
3、点击确认时交易界面必填项、手机号是否有功能权限
4、点击取消关闭弹窗
5、调用行业管理员数据展示接口</t>
  </si>
  <si>
    <t>【地市后台】垂直行业管理-垂直行业管理员新增接口开发</t>
  </si>
  <si>
    <t>【地市后台】垂直行业管理-垂直行业管理员新增接口开发，具体如下：
1、垂直行业管理-垂直行业管理员新增接口开发
2、新增垂直行业管理员数据表
3、接收前端传输的数据并存储至数据表中</t>
  </si>
  <si>
    <t>【地市后台】垂直行业管理-垂直行业管理员编辑界面开发</t>
  </si>
  <si>
    <t>【地市后台】垂直行业管理-垂直行业管理员编辑界面开发，具体如下：
1、点击编辑按钮进入垂直行业管理员编辑界面，要素包含手机号、名称、关联垂直行业
2、确认按钮、取消按钮
3、提交时校验页面必填项以及手机号是否有权限
4、调用行业管理员编辑接口
5、点击取消关闭弹窗</t>
  </si>
  <si>
    <t>【地市后台】垂直行业管理-垂直行业管理员编辑接口开发</t>
  </si>
  <si>
    <t>【地市后台】垂直行业管理-垂直行业管理员编辑接口开发，具体如下：
1、垂直行业管理-垂直行业管理员编辑接口开发
2、接收前端传输的数据并存储至数据表中</t>
  </si>
  <si>
    <t>【地市后台】垂直行业管理-垂直行业管理员数据删除服务</t>
  </si>
  <si>
    <t>【地市后台】垂直行业管理-垂直行业管理员数据删除服务，具体如下：
1、点击删除按钮传输数据ID
2、列表数据删除接口开发
3、后端接收前端传输的数据并匹配删除对应数据</t>
  </si>
  <si>
    <t>【地市后台】垂直行业管理-垂直行业管理员数据查询服务</t>
  </si>
  <si>
    <t>【地市后台】垂直行业管理-垂直行业管理员数据查询服务，具体如下：
1、查询条件为管理员名称、手机号、关联行业
2、根据条件中的值返回列表数据包含序号、管理员、管理员手机号、关联行业、添加时间</t>
  </si>
  <si>
    <t>【地市后台】垂直行业管理-垂直行业管理员数据划分服务</t>
  </si>
  <si>
    <t>【地市后台】垂直行业管理-垂直行业管理员数据划分服务，具体如下：
1、根据垂直行业所关联的管理员进行数据划分，对应管理员只能看到所关联垂直行业的数据
2、行业人员稽核时，对应管理员只能做对应行业的数据稽核以及查看
3、超级管理员可看到所有数据</t>
  </si>
  <si>
    <t>【地市后台】垂直行业管理-垂直行业平台管理界面开发</t>
  </si>
  <si>
    <t>【地市后台】垂直行业管理-垂直行业平台管理界面开发，具体如下：
1、新增垂直行业平台功能，要素包含搜索（平台名称、关联行业、查询按钮、重置按钮）、添加平台按钮
2、列表（序号、平台名称、关联行业、添加时间、操作）
3、列表翻页功能
4、调用垂直行业平台列表数据展示接口</t>
  </si>
  <si>
    <t>【地市后台】垂直行业管理-垂直行业平台管理列表数据展示接口开发</t>
  </si>
  <si>
    <t>【地市后台】垂直行业管理-垂直行业平台管理列表数据展示接口开发，具体如下：
1、垂直行业管理-垂直行业平台管理列表数据展示接口开发
2、将数据返回至前端进行展示</t>
  </si>
  <si>
    <t>【地市后台】垂直行业管理-垂直行业平台管理平台新增界面开发</t>
  </si>
  <si>
    <t>【地市后台】垂直行业管理-垂直行业平台管理平台新增界面开发，具体如下：
1、点击添加行业平台按钮，弹出新增界面要素包含平台名称、关联行业、确认按钮、重置按钮
2、点击确认时校验必填项
3、点击返回关闭弹窗
4、调用垂直行业平台新增接口</t>
  </si>
  <si>
    <t>【地市后台】垂直行业管理-垂直行业平台管理平台新增接口开发</t>
  </si>
  <si>
    <t>【地市后台】垂直行业管理-垂直行业平台管理平台新增接口开发，具体如下：
1、垂直行业平台管理平台新增接口开发
2、新增垂直行业平台数据表
3、接收前端传输的数据并存储至数据表中</t>
  </si>
  <si>
    <t>【地市后台】垂直行业管理-垂直行业平台管理平台编辑界面开发</t>
  </si>
  <si>
    <t>【地市后台】垂直行业管理-垂直行业平台管理平台编辑界面开发，具体如下：
1、点击编辑按钮进入行业平台编辑界面，要素包含平台名称、关联行业、确认按钮、重置按钮
2、点击确认时需校验必填项
3、点击返回时关闭弹窗
4、调用垂直行业平台编辑接口</t>
  </si>
  <si>
    <t>【地市后台】垂直行业管理-垂直行业平台管理平台编辑接口开发</t>
  </si>
  <si>
    <t>【地市后台】垂直行业管理-垂直行业平台管理平台编辑接口开发，具体如下：
1、垂直行业平台管理平台编辑接口开发
2、接收前端传输的数据并更新数据表</t>
  </si>
  <si>
    <t>【地市后台】垂直行业管理-垂直行业平台管理数据删除服务</t>
  </si>
  <si>
    <t>【地市后台】垂直行业管理-垂直行业平台管理数据删除服务，具体如下：
1、点击删除按钮传输列表数据ID
2、新增列表数据删除接口
3、匹配前端传输的数据，并删除对应数据</t>
  </si>
  <si>
    <t>【地市后台】垂直行业管理-垂直行业平台管理数据查询服务</t>
  </si>
  <si>
    <t>【地市后台】垂直行业管理-垂直行业平台管理数据查询服务，具体如下：
1、查询条件为平台名称、关联行业
2、根据查询条件的值返回列表数据包含序号、平台名称、关联行业、添加时间</t>
  </si>
  <si>
    <t>【地市后台】装修管理-垂直行业首页装修管理界面开发</t>
  </si>
  <si>
    <t>【地市后台】装修管理-垂直行业首页装修管理界面开发，具体如下：
1、新增垂直行业首页装修管理界面，要素包含首页名称、查询、重置按钮，新增按钮
2、列表（序号、首页名称、添加时间、状态）
3、列表翻页功能
4、调用垂直行业装修列表数据展示接口</t>
  </si>
  <si>
    <t>【地市后台】装修管理-垂直行业首页装修管理列表数据展示开发</t>
  </si>
  <si>
    <t>【地市后台】装修管理-垂直行业首页装修管理列表数据展示开发，具体如下：
1、垂直行业首页装修管理列表数据展示开发
2、将数据返回至前端进行展示</t>
  </si>
  <si>
    <t>【地市后台】装修管理-垂直行业首页装修管理新增接口开发</t>
  </si>
  <si>
    <t>【地市后台】装修管理-垂直行业首页装修管理新增接口开发，具体如下：
1、垂直行业首页装修管理新增接口开发
2、新增首页装修的数据表用于存储基础信息及组件的配置区域、基础组件区域（图片轮播、图片广告、业务组件、优惠券组件、登录状态组件数据
3、将装修数据存储至数据表中</t>
  </si>
  <si>
    <t>【地市后台】装修管理-垂直行业首页装修管理-装修组件复用及适配</t>
  </si>
  <si>
    <t>【地市后台】装修管理-垂直行业首页装修管理-装修组件复用及适配，具体如下：
1、复用轮播图片组件、图片广告组件、业务组件、优惠券组件、浮窗组件，包含组件的排版布局配置、背景颜色、以及关联的调整链接等要素，图片组件及图片轮播组件需支持上传图片，优惠券组件需要关联卡券管理数据，业务组件需关联营销案管理的数据
2、适配至垂直行业平台的装修管理功能</t>
  </si>
  <si>
    <t>修改</t>
  </si>
  <si>
    <t>【地市后台】装修管理-垂直行业首页装修管理-登录状态组件开发</t>
  </si>
  <si>
    <t>【地市后台】装修管理-垂直行业首页装修管理-登录状态组件开发，具体如下：
1、新增登录状态组件，可配置上边距、下边距，支持设置背景图并查询当前登录账号的手机号和认证信息</t>
  </si>
  <si>
    <t>【地市后台】装修管理-垂直行业首页装修管理-签到组件开发</t>
  </si>
  <si>
    <t>【地市后台】装修管理-垂直行业首页装修管理-签到组件开发，具体如下：
1、新增签到组件，支持配置上边距、下边距、背景颜色、签到规则
2、支持每一天配置不一样的已签到图片和未签到图片
3、关联后台的签到奖品</t>
  </si>
  <si>
    <t>【地市后台】装修管理-垂直行业首页装修管理-驿站组件开发</t>
  </si>
  <si>
    <t>【地市后台】装修管理-垂直行业首页装修管理-驿站组件开发，具体如下：
1、新增驿站组件，支持配置组件的上边距、下边距、背景颜色
2、关联后台的驿站列表数据</t>
  </si>
  <si>
    <t>【地市后台】装修管理-垂直行业首页装修管理-通讯礼包组件开发</t>
  </si>
  <si>
    <t>【地市后台】装修管理-垂直行业首页装修管理-通讯礼包组件开发，具体如下：
1、新增通信礼包组件，支持配置图片个数、图片边距、上边距、下边距、图片个数、标题对齐、标题名称、标题颜色、背景颜色
2、支持自定义配置多个业务，并给每个业务配置图片、以及设置限制条件</t>
  </si>
  <si>
    <t>【地市后台】装修管理-垂直行业首页装修管理-视频组件开发</t>
  </si>
  <si>
    <t>【地市后台】装修管理-垂直行业首页装修管理-视频组件开发，具体如下：
1、新增视频组件，支持配置上边距、下边距、背景颜色、上传视频封面图片、上传视频</t>
  </si>
  <si>
    <t>【地市后台】装修管理-自定义装修管理界面开发</t>
  </si>
  <si>
    <t>【地市后台】装修管理-自定义装修管理界面开发，具体如下：
1、新增自定义装修管理界面，要素包含首页名称、查询、重置按钮，新增按钮
2、列表（序号、首页名称、添加时间、状态）
3、列表翻页功能
4、调用自定义装修列表数据展示接口</t>
  </si>
  <si>
    <t>【地市后台】装修管理-自定义装修装修管理列表数据展示开发</t>
  </si>
  <si>
    <t>【地市后台】装修管理-自定义装修装修管理列表数据展示开发，具体如下：
1、自定义装修装修管理列表数据展示开发
2、将数据返回至前端进行展示</t>
  </si>
  <si>
    <t>【地市后台】装修管理-自定义装修装修管理新增接口开发</t>
  </si>
  <si>
    <t>【地市后台】装修管理-自定义装修管理新增接口开发，具体如下：
1、自定义装修管理新增接口开发
2、新增首页装修的数据表用于存储基础信息及组件的配置区域、基础组件区域（图片轮播、图片广告、业务组件、优惠券组件、登录状态组件数据
3、将装修数据存储至数据表中</t>
  </si>
  <si>
    <t>【地市后台】装修管理-自定义装修管理-自定义装修管理组件复用及适配</t>
  </si>
  <si>
    <t xml:space="preserve">【地市后台】装修管理-自定义装修管理-自定义装修管理组件复用及适配，具体如下：
1、复用组件功能，包含轮播图片组件、图片广告组件、业务组件、优惠券组件、登录状态组件、签到组件、驿站组件、通讯礼包组件、视频组件、浮窗组件，包含各个组件的布局排版，背景颜色，所关联的跳转链接、限制条件等
2、将组件适配于自定义装修功能
</t>
  </si>
  <si>
    <t>【地市后台】装修管理-待配准条件界面开发</t>
  </si>
  <si>
    <t>【地市后台】装修管理-待配准条件界面开发，具体如下：
1、新增待配置条件的页面，包含是否认证人员可领、是否仅本地市可领、网龄范围可领、套餐范围可领
2、页面应用于各个组件中</t>
  </si>
  <si>
    <t>【地市后台】装修管理-自定义页面选择界面开发</t>
  </si>
  <si>
    <t>【地市后台】装修管理-自定义页面选择界面开发，具体如下：
1、新增自定义二级页面选择界面，包含搜索项（名称、状态）搜索按钮、查询按钮
2、列表展示id、二级页名称、状态
3、调用二级页数据
4、支持在选择页面进行查询操作
5、应用于各组件的二级页面选择</t>
  </si>
  <si>
    <t>【地市后台】行业人员认证管理-行业人员认证列表界面开发</t>
  </si>
  <si>
    <t>【地市后台】行业人员认证管理-行业人员认证列表界面开发，具体如下：
1、新增行业人员认证列表，要素包含搜索人员名称、人员号码、行业类别、认证通过时间、查询、重置按钮、导入按钮、导出按钮
2、列表（序号、人员名称、人员号码、性别、行业类别、工作平台、证件信息、认证方式、认证人员、认证通过时间、状态）
3、列表翻页功能
4、调用行业人员认证列表数据展示接口
5、通过状态控制对应数据是否生效</t>
  </si>
  <si>
    <t>【地市后台】行业人员认证管理-行业人员认证列表数据导入</t>
  </si>
  <si>
    <t>【地市后台】行业人员认证管理-行业人员认证列表数据导入，具体如下：
1、新增导入模板，包含人员名称、人员手机号、性别、行业类别、工作平台、证件信息
2、匹配导入的数据是否符合，并存储至数据表中
3、导入数据存储为认证通过时间，导入人员为认证人员、认证方式为导入认证</t>
  </si>
  <si>
    <t>【地市后台】行业人员认证管理-行业人员认证列表数据导出</t>
  </si>
  <si>
    <t>EO</t>
  </si>
  <si>
    <t>EO:1)输出的票据、报表、统计、文件、短信、彩信、邮件的个数</t>
  </si>
  <si>
    <t>【地市后台】行业人员认证管理-行业人员认证列表数据导出，具体如下：
1、依照搜索条件导出行业人员认证数据，条件包含（人员名称、人员号码、行业类别、认证通过时间）
2、导出的数据包含序号、人员名称、人员号码、性别、行业类别、工作平台、证件信息、认证方式、认证人员、认证通过时间</t>
  </si>
  <si>
    <t>【地市后台】行业人员认证管理-行业人员认证列表数据查询服务</t>
  </si>
  <si>
    <t>【地市后台】行业人员认证管理-数据查询服务，具体如下：
1、查询条件为人员名称、人员号码、行业类别、认证通过时间
2、根据查询条件的值返回列表数据，数据包含序号、人员名称、人员号码、性别、行业类别、工作平台、证件信息、认证方式、认证人员、认证通过时间、状态</t>
  </si>
  <si>
    <t>【地市后台】行业人员认证管理-行业人员稽核管理界面开发</t>
  </si>
  <si>
    <t>【地市后台】行业人员认证管理-行业人员稽核管理界面开发，具体如下：
1、新增行业人员稽核管理界面，要素包含人员名称、人员号码、行业类别、提交时间、查询、重置按钮、导出按钮
2、列表（序号、人员名称、人员手机号、性别、行业类别、工作平台）
3、列表翻页功能</t>
  </si>
  <si>
    <t>【地市后台】行业人员认证管理-行业人员稽核管理数据导出服务</t>
  </si>
  <si>
    <t>【地市后台】行业人员认证管理-行业人员稽核管理数据导出服务，具体如下：
1、查询条件有人员名称、人员号码、行业类别、提交时间
2、根据查询条件导出列表数据，包含序号、人员名称、人员手机号、性别、行业类别、工作平台</t>
  </si>
  <si>
    <t>【地市后台】行业人员认证管理-行业人员稽核管理数据查询服务</t>
  </si>
  <si>
    <t>【地市后台】行业人员认证管理-行业人员稽核管理数据查询服务，具体如下：
1、查询条件有人员名称、人员号码、行业类别、提交时间
2、根据查询条件返回列表数据，包含序号、人员名称、人员手机号、性别、行业类别、工作平台</t>
  </si>
  <si>
    <t>【地市后台】行业人员认证管理-行业人员稽核管理-稽核界面开发</t>
  </si>
  <si>
    <t>【地市后台】行业人员认证管理-行业人员稽核管理-稽核界面开发，具体如下;
1、点击稽核按钮，弹出稽核界面，要素包含选择稽核结果，填写原因
2、当结果为通过，原因默认为认证成功
3、当结果为不通过时，需填写原因
4、点击返回按钮关闭弹窗，点击通过则需校验必填项</t>
  </si>
  <si>
    <t>【地市后台】驿站管理-驿站列表界面开发</t>
  </si>
  <si>
    <t>【地市后台】驿站管理-驿站列表界面开发，具体如下：
1、新增驿站管理列表，要素包含搜索驿站名称、查询按钮、重置按钮、添加驿站按钮、导入按钮
2、列表（序号、驿站名称、添加时间、状态、操作）
3、列表翻页功能</t>
  </si>
  <si>
    <t>【地市后台】驿站管理-驿站列表添加驿站界面开发</t>
  </si>
  <si>
    <t>【地市后台】驿站管理-驿站列表添加驿站界面开发，具体如下：
1、点击添加按钮弹出添加驿站界面，要素包含驿站名称、驿站地址、经纬度
2、调用厦门地市位置接口可进行搜索选取
3、根据所选的位置生成经纬度</t>
  </si>
  <si>
    <t>【地市后台】驿站管理-驿站列表添加接口开发</t>
  </si>
  <si>
    <t>【地市后台】驿站管理-驿站列表添加接口开发，具体如下：
1、驿站列表添加接口开发
2、新增驿站数据表
3、将数据存储至数据表中</t>
  </si>
  <si>
    <t>【地市后台】驿站管理-驿站列表编辑驿站界面开发</t>
  </si>
  <si>
    <t>【地市后台】驿站管理-驿站列表编辑驿站界面开发，具体如下：
1、点击编辑按钮弹出添加驿站界面，要素包含驿站名称、驿站地址、经纬度
2、调用厦门地市位置接口可进行搜索选取
3、根据所选的位置生成经纬度</t>
  </si>
  <si>
    <t>【地市后台】驿站管理-驿站列表编辑接口开发</t>
  </si>
  <si>
    <t>【地市后台】驿站管理-驿站列表编辑接口开发，具体如下：
1、驿站列表编辑接口开发
2、对应数据存储至数据表中</t>
  </si>
  <si>
    <t>【地市后台】驿站列表-驿站列表数据删除服务</t>
  </si>
  <si>
    <t>【地市后台】驿站列表-驿站列表数据删除服务，具体如下：
1、新增数据删除接口
2、点击删除按钮调用数据删除接口
3、从数据表中匹配对应数据并删除</t>
  </si>
  <si>
    <t>【地市后台】驿站管理-驿站列表数据查询服务</t>
  </si>
  <si>
    <t>【地市后台】驿站管理-驿站列表数据查询服务，具体如下：
1、查询条件为驿站名称
2、新增驿站列表查询接口
3、根据查询条件返回列表数据包含序号、驿站名称、添加时间、状态</t>
  </si>
  <si>
    <t>【地市后台】驿站管理-驿站列表数据导入服务</t>
  </si>
  <si>
    <t>【地市后台】驿站管理-驿站列表数据导入服务，具体如下：
1、新增驿站列表数据导入模板
2、将文件导入并匹配数据是否正确，将正确的存储至数据表中</t>
  </si>
  <si>
    <t>【地市后台】签到管理-签到奖品配置列表界面开发</t>
  </si>
  <si>
    <t>【地市后台】签到管理-签到奖品配置列表界面开发，具体如下：
1、新增签到奖品配置列表界面包含签到规则
2、签到周期，可针对每一个签到周期进行奖品配置</t>
  </si>
  <si>
    <t>【地市后台】签到管理-签到奖品配置-奖品配置界面开发</t>
  </si>
  <si>
    <t>【地市后台】签到管理-签到奖品配置-奖品配置界面开发，具体如下：
1、奖品配置界面，要素包含奖品名称、查询按钮、重置按钮、新增按钮、导出按钮
2、列表（序号、奖品名称、初始库存、剩余库存、中奖概率、操作）
3、列表翻页功能</t>
  </si>
  <si>
    <t>【地市后台】签到管理-签到奖品配置-奖品配置数据查询服务</t>
  </si>
  <si>
    <t>【地市后台】签到管理-签到奖品配置-奖品配置数据查询服务，具体如下：
1、查询条件为奖品名称
2、根据查询条件的值返回列表数据包含序号、奖品名称、初始库存、剩余库存、中奖概率、操作</t>
  </si>
  <si>
    <t>【地市后台】签到管理-签到奖品配置-奖品配置-添加奖品界面开发</t>
  </si>
  <si>
    <t>【地市后台】签到管理-签到奖品配置-奖品配置-添加奖品界面开发，具体如下：
1、点击新增按钮，弹出新增奖品界面
，要素包含奖品选择、库存配置、权重、中奖概率、领取次数限制
2、调用卡券数据
3、提交时校验必填项
4、点击关闭按钮关闭弹窗</t>
  </si>
  <si>
    <t>【地市后台】签到管理-签到奖品配置-奖品配置-添加奖品接口开发</t>
  </si>
  <si>
    <t>【地市后台】签到管理-签到奖品配置-奖品配置-添加奖品接口开发，具体如下：
1、添加奖品接口开发
2、新增奖品配置数据表
3、将奖品信息存储至数据表中</t>
  </si>
  <si>
    <t>【地市后台】签到管理-签到奖品配置-奖品配置-添加奖品数据删除服务</t>
  </si>
  <si>
    <t>【地市后台】签到管理-签到奖品配置-奖品配置-添加奖品数据删除服务，具体如下：
1、新增数据删除接口
2、点击删除按钮调用删除接口
3、匹配并删除数据表的对应数据</t>
  </si>
  <si>
    <t>【地市后台】签到管理-签到奖品配置-奖品配置导出服务</t>
  </si>
  <si>
    <t>【地市后台】签到管理-签到奖品配置-奖品配置导出服务，具体如下：
1、根据搜索条件返回的列表数据进行导出，要素包含序号、奖品名称、初始库存、剩余库存、中奖概率</t>
  </si>
  <si>
    <t>【地市后台】签到管理-签到记录列表界面开发</t>
  </si>
  <si>
    <t>【地市后台】签到管理-签到记录列表界面开发，具体如下：
1、新增签到记录表要素包含搜索、手机号码、查询按钮、重置按钮
2、导出按钮、列表数据（序号、手机号码、签到时间、签到到期时间、签到天数、操作）
3、列表翻页功能
4、新增查询接口、支持在列表根据查询条件进行列表数据查询</t>
  </si>
  <si>
    <t>【地市后台】签到管理-签到记录列表数据导出服务</t>
  </si>
  <si>
    <t>【地市后台】签到管理-签到记录列表数据导出服务，具体如下：
1、依照查询条件返回列表数据并进行导出，包含序号、手机号码、签到时间、签到到期时间、签到天数</t>
  </si>
  <si>
    <t>【地市后台】签到管理-签到记录列表查看明细界面开发</t>
  </si>
  <si>
    <t>【地市后台】签到管理-签到记录列表查看明细界面开发，具体如下：
1、要素包含签到时间搜索、查询按钮、重置按钮
2、列表包含序号、手机号、签到时间、奖品
3、新增数据查询接口并支持根据签到时间返回列表数据
4、支持依照查询条件导出列表数据
5、支持列表翻页</t>
  </si>
  <si>
    <t>【地市后台】订单管理-卡券订单界面开发</t>
  </si>
  <si>
    <t>【地市后台】订单管理-卡券订单界面开发，具体如下：
1、搜索项（订单流水、领券手机号、卡券名称、卡券ID、卡券类型、卡券来源、来源应用通道、渠道名称、分销员手机号、状态、下单时间）
2、导出按钮、列表（序号、订单流水、领券手机号、卡券名称、卡券ID、卡券类型、卡券来源、来源应用通道、分销信息、收货人名称、收货人手机号、收货地址、状态、下单时间、发券时间、使用时间、操作）
3、列表翻页功能</t>
  </si>
  <si>
    <t>【地市后台】订单管理-卡券订单数据展示接口开发</t>
  </si>
  <si>
    <t>【地市后台】订单管理-卡券订单数据展示接口开发，具体如下：
1、卡券订单数据展示接口开发
2、将数据返回至前端进行展示</t>
  </si>
  <si>
    <t>【地市后台】订单管理-卡券订单数据查询服务</t>
  </si>
  <si>
    <t>【地市后台】订单管理-卡券订单数据查询服务，具体如下：
1、查询条件有订单流水、领券手机号、卡券名称、卡券ID、卡券类型、卡券来源、来源应用通道、渠道名称、分销员手机号、状态、下单时间
2、根据查询条件的值返回列表数据，包含订单流水、领券手机号、卡券名称、卡券ID、卡券类型、卡券来源、来源应用通道、分销信息、收货人名称、收货人手机号、收货地址、状态、下单时间、发券时间、使用时间</t>
  </si>
  <si>
    <t>【地市后台】订单管理-卡券订单数据导出服务</t>
  </si>
  <si>
    <t>【地市后台】订单管理-卡券订单数据导出服务，具体如下：
1、根据搜索条件返回并导出列表数据，包含订单流水、领券手机号、卡券名称、卡券ID、卡券类型、卡券来源、来源应用通道、分销信息、收货人名称、收货人手机号、收货地址、状态、下单时间、发券时间、使用时间</t>
  </si>
  <si>
    <t>【地市后台】订单管理-业务订单界面开发</t>
  </si>
  <si>
    <t>【地市后台】订单管理-业务订单界面开发，具体如下：
1、新增业务订单界面，包含搜索项（关键词搜索、业务类型搜索、来源应用通道搜索、订单状态、下单时间）、查询按钮、重置按钮、导出按钮
2、列表（序号、订单编码、下单号码、业务名称、业务编码、业务类型、分销信息、来源应用、下单时间、订单状态）
3、列表翻页功能</t>
  </si>
  <si>
    <t>【地市后台】订单管理-业务订单数据展示接口开发</t>
  </si>
  <si>
    <t>【地市后台】订单管理-业务订单数据展示接口开发，具体如下：
1、新增业务订单数据展示接口
2、将数据返回至前端进行展示</t>
  </si>
  <si>
    <t>【地市后台】订单管理-业务订单数据查询服务</t>
  </si>
  <si>
    <t>【地市后台】订单管理-业务订单数据查询服务，具体如下：
1、查询条件有关键词搜索、业务类型搜索、来源应用通道搜索、订单状态、下单时间
2、根据查询条件的值返回列表数据，包含（序号、订单编码、下单号码、业务名称、业务编码、业务类型、分销信息、来源应用、下单时间、订单状态）</t>
  </si>
  <si>
    <t>【地市后台】订单管理-业务订单数据导出服务</t>
  </si>
  <si>
    <t>【地市后台】订单管理-业务订单数据导出服务，具体如下：
1、根据搜寻出的数据导出数据包含，序号、订单编码、下单号码、业务名称、业务编码、业务类型、分销信息、来源应用、下单时间、订单状态</t>
  </si>
  <si>
    <t>GZT-YXGJ-01</t>
  </si>
  <si>
    <t>【渠道工作台】垂直行业营销工作台界面开发</t>
  </si>
  <si>
    <t>【渠道工作台】垂直行业营销工作台界面开发，具体如下：
1、新增垂直行业营销工作台，要素包含分销员名称、手机号、分销码、稽核管理、销售情况（访问人数、总销量订单、成功订单跟根据时间进行筛选）
2、业务订单展示，需调用业务订单的数据
3、卡券订单展示，需调用卡券订单的数据</t>
  </si>
  <si>
    <t>【渠道工作台】垂直行业营销工作台-分校码界面开发</t>
  </si>
  <si>
    <t>【渠道工作台】垂直行业营销工作台-分校码界面开发，具体如下：
1、根据后台配置的管理员数据进行返回不同行业平台的分校码
2、点击查看可弹出对应行业的分校码
3、点击进入按钮可以进入对应垂直行业的首页</t>
  </si>
  <si>
    <t>【渠道工作台】垂直行业营销工作台-稽核界面开发</t>
  </si>
  <si>
    <t>【渠道工作台】垂直行业营销工作台-稽核界面开发，具体如下：
1、新增稽核列表界面，根据当前分销员归属的垂直行业去展示对应行业的稽核数据
2、数据展示骑手的名称、手机号、审核状态、所属行业、所属平台
3、调用稽核列表数据</t>
  </si>
  <si>
    <t>【渠道工作台】垂直行业营销工作台-稽核详情页开发</t>
  </si>
  <si>
    <t>【渠道工作台】垂直行业营销工作台-稽核详情页开发，具体如下：
1、新增稽核详情界面，要素包含审核状态、类型、人员名称、性别、工作平台、证件信息、提交时间、稽核按钮
2、未稽核的数据会有稽核按钮，稽核通过则状态改成审核成功，若要点击稽核不通过则需要填写不通过的原因
3、稽核信息点击通过时，对应行业人员的认证组件显示的状态应该改为一人在
4、将稽核数据存储至稽核数据表中</t>
  </si>
  <si>
    <t>【用户前台】垂直行业平台首页界面开发</t>
  </si>
  <si>
    <t>【用户前台】垂直行业平台首页界面开发，具体如下：
1、新增垂直行业平台的首页，需调用后台垂直行业的首页装修数据的各个组件包含图片轮播、图片广告、业务组件、优惠券、登录状态组件、优惠券组件、签到组件、驿站组件、通讯礼包组件、视频组件、浮窗组件
2、支持点击对应的组件跳转至关联的二级页面或者跳转链接处
3、当对应组件有配置限制条件时，不符合限制条件的客户点击则无法进行领取、跳转</t>
  </si>
  <si>
    <t>【用户前台】垂直行业平台首页-稽核界面开发</t>
  </si>
  <si>
    <t>【用户前台】垂直行业平台首页-稽核界面开发，具体如下：
1、用户登录首页时，判断手机号是否已经做过稽核，如果没有则需弹出稽核弹窗要素包含（名称、手机号、性别、工作平台、工作证上传）
2、点击提交后对应的分销员工作台可以收到稽核信息以及后台新增一个稽核数据</t>
  </si>
  <si>
    <t>【用户前台】垂直行业平台首页-我的界面开发</t>
  </si>
  <si>
    <t xml:space="preserve">【用户前台】垂直行业平台首页-我的界面开发，具体如下：
1、新增我的界面，要素包含手机号、我的订单入口、我的卡券入口、认证入口
</t>
  </si>
  <si>
    <t>【用户前台】垂直行业平台首页-我的界面-我的订单界面开发</t>
  </si>
  <si>
    <t>【用户前台】垂直行业平台首页-我的界面-我的订单界面开发，具体如下：
1、新增我的订单界面，调用业务订单数据
2、支持在订单界面进行查询包含业务名称、订单状态</t>
  </si>
  <si>
    <t>【用户前台】垂直行业平台首页-我的界面-我的卡券界面开发</t>
  </si>
  <si>
    <t>【用户前台】垂直行业平台首页-我的界面-我的卡券界面开发，具体如下：
1、新增我的卡券界面，调用卡券订单数据
2、对卡券进行分类展示、未领取、已领取、待使用、已使用、已过期、已吊销</t>
  </si>
  <si>
    <t>【用户前台】垂直行业平台首页-我的界面-认证入口</t>
  </si>
  <si>
    <t>【用户前台】垂直行业平台首页-我的界面-认证入口，具体如下：
1、新增我的界面-认证入口，未认证的行业人员可进行认证，已经提交认证未稽核的人员显示稽核中，若稽核通过或者失败的人员可以修改认证信息并进行重新提交</t>
  </si>
  <si>
    <t>【用户前台】垂直行业平台首页-订单生成逻辑</t>
  </si>
  <si>
    <t>【用户前台】垂直行业平台首页-订单生成逻辑，具体如下：
1、当客户下单时，生成对应的订单流水号、记录客户名称、手机号、已经当前客户访问的分销员的信息、页面名称等并存储至数据表中</t>
  </si>
  <si>
    <t>外部输入处理EI (External Input)是获得数据的过程，对终端用户的输入进行相关的处理。</t>
  </si>
  <si>
    <t>判定原则</t>
  </si>
  <si>
    <t>外部输出处理EO (External Output)是反馈数据的过程，完成对票据、报表、短信、邮件等的输出。</t>
  </si>
  <si>
    <t xml:space="preserve">外部查询处理EQ(External Inquiry)是针对终端用户的查询请求，输出相应的检索结果。 </t>
  </si>
  <si>
    <t>EI:2)对ILF的插入、修改、删除操作的次数（无涉及画面的）</t>
  </si>
  <si>
    <t>内部逻辑文件ILF (Internal Logical File)是在信息系统内部，为了完成相关功能使用的逻辑文件，包括顺序文件、数据库表、临时文件等。</t>
  </si>
  <si>
    <t>EI:3)从外系统接口获取数据；</t>
  </si>
  <si>
    <t>外部接口（参照）文件EIF (External Interface File)是该系统和外部其他信息系统为了交换数据而使用的接口文件。</t>
  </si>
  <si>
    <t>EI:4)用户从IVR、短营、网营的每次输入</t>
  </si>
  <si>
    <r>
      <rPr>
        <sz val="10"/>
        <rFont val="Times New Roman"/>
        <charset val="254"/>
      </rPr>
      <t>2</t>
    </r>
    <r>
      <rPr>
        <sz val="10"/>
        <rFont val="宋体"/>
        <charset val="254"/>
      </rPr>
      <t>.</t>
    </r>
    <r>
      <rPr>
        <sz val="10"/>
        <rFont val="Times New Roman"/>
        <charset val="254"/>
      </rPr>
      <t xml:space="preserve">   </t>
    </r>
    <r>
      <rPr>
        <sz val="10"/>
        <rFont val="宋体"/>
        <charset val="254"/>
      </rPr>
      <t>确定EI、EQ、EO、ILF、EIF个数</t>
    </r>
  </si>
  <si>
    <t>EO:2)IVR、短营、网营的调用外接口的反馈处理</t>
  </si>
  <si>
    <t>2.1 外部输入处理（EI）的判定基准</t>
  </si>
  <si>
    <t>EQ:1)提供查询界面输入并展示返回结果</t>
  </si>
  <si>
    <r>
      <rPr>
        <sz val="10"/>
        <rFont val="Wingdings"/>
        <charset val="254"/>
      </rPr>
      <t>l</t>
    </r>
    <r>
      <rPr>
        <sz val="10"/>
        <rFont val="Times New Roman"/>
        <charset val="254"/>
      </rPr>
      <t xml:space="preserve">  </t>
    </r>
    <r>
      <rPr>
        <sz val="10"/>
        <rFont val="宋体"/>
        <charset val="254"/>
      </rPr>
      <t>数据是从系统边界外部获取的</t>
    </r>
  </si>
  <si>
    <t>EQ:2)配置每档套餐视为一个EQ</t>
  </si>
  <si>
    <r>
      <rPr>
        <sz val="10"/>
        <rFont val="Wingdings"/>
        <charset val="254"/>
      </rPr>
      <t>l</t>
    </r>
    <r>
      <rPr>
        <sz val="10"/>
        <rFont val="Times New Roman"/>
        <charset val="254"/>
      </rPr>
      <t xml:space="preserve">  </t>
    </r>
    <r>
      <rPr>
        <sz val="10"/>
        <rFont val="宋体"/>
        <charset val="254"/>
      </rPr>
      <t>事务处理是对ILF的插入、修改、删除操作，但当数据是控制信息时，此规则不适用</t>
    </r>
  </si>
  <si>
    <t>EQ:3)工作流的一个流程变化视为一个EQ</t>
  </si>
  <si>
    <t>通常EI个数计算规则如下：</t>
  </si>
  <si>
    <t>EQ:4)KPI计算与输出视为1个EQ</t>
  </si>
  <si>
    <r>
      <rPr>
        <sz val="10"/>
        <rFont val="宋体"/>
        <charset val="254"/>
      </rPr>
      <t>1）</t>
    </r>
    <r>
      <rPr>
        <sz val="10"/>
        <rFont val="Times New Roman"/>
        <charset val="254"/>
      </rPr>
      <t xml:space="preserve">      </t>
    </r>
    <r>
      <rPr>
        <sz val="10"/>
        <rFont val="宋体"/>
        <charset val="254"/>
      </rPr>
      <t>修改或增加界面的个数；</t>
    </r>
  </si>
  <si>
    <t>ILF:1)后台数据库变更（包括增加、删除以及对字段的变更）的表个数</t>
  </si>
  <si>
    <r>
      <rPr>
        <sz val="10"/>
        <rFont val="宋体"/>
        <charset val="254"/>
      </rPr>
      <t>2）</t>
    </r>
    <r>
      <rPr>
        <sz val="10"/>
        <rFont val="Times New Roman"/>
        <charset val="254"/>
      </rPr>
      <t xml:space="preserve">      </t>
    </r>
    <r>
      <rPr>
        <sz val="10"/>
        <rFont val="宋体"/>
        <charset val="254"/>
      </rPr>
      <t>对ILF的插入、修改、删除操作的次数（无涉及画面的）。</t>
    </r>
  </si>
  <si>
    <r>
      <rPr>
        <sz val="10"/>
        <rFont val="宋体"/>
        <charset val="254"/>
      </rPr>
      <t>3）</t>
    </r>
    <r>
      <rPr>
        <sz val="10"/>
        <rFont val="Times New Roman"/>
        <charset val="254"/>
      </rPr>
      <t xml:space="preserve">      </t>
    </r>
    <r>
      <rPr>
        <sz val="10"/>
        <rFont val="宋体"/>
        <charset val="254"/>
      </rPr>
      <t>从外系统接口获取数据；</t>
    </r>
  </si>
  <si>
    <t>EIF:1)评估范围外相关的表（文件）的个数</t>
  </si>
  <si>
    <r>
      <rPr>
        <sz val="10"/>
        <rFont val="宋体"/>
        <charset val="254"/>
      </rPr>
      <t>4）</t>
    </r>
    <r>
      <rPr>
        <sz val="10"/>
        <rFont val="Times New Roman"/>
        <charset val="254"/>
      </rPr>
      <t xml:space="preserve">      </t>
    </r>
    <r>
      <rPr>
        <sz val="10"/>
        <rFont val="宋体"/>
        <charset val="254"/>
      </rPr>
      <t>用户从IVR、短营、网营的每次输入；</t>
    </r>
  </si>
  <si>
    <t>2.2外部输出处理（EO）的判定基准</t>
  </si>
  <si>
    <r>
      <rPr>
        <sz val="10"/>
        <rFont val="Wingdings"/>
        <charset val="254"/>
      </rPr>
      <t>l</t>
    </r>
    <r>
      <rPr>
        <sz val="10"/>
        <rFont val="Times New Roman"/>
        <charset val="254"/>
      </rPr>
      <t xml:space="preserve">  </t>
    </r>
    <r>
      <rPr>
        <sz val="10"/>
        <rFont val="宋体"/>
        <charset val="254"/>
      </rPr>
      <t>向系统边界的外部输出数据</t>
    </r>
  </si>
  <si>
    <r>
      <rPr>
        <sz val="10"/>
        <rFont val="Wingdings"/>
        <charset val="254"/>
      </rPr>
      <t>l</t>
    </r>
    <r>
      <rPr>
        <sz val="10"/>
        <rFont val="Times New Roman"/>
        <charset val="254"/>
      </rPr>
      <t xml:space="preserve">  </t>
    </r>
    <r>
      <rPr>
        <sz val="10"/>
        <rFont val="宋体"/>
        <charset val="254"/>
      </rPr>
      <t>一般可以包含下列业务处理逻辑：</t>
    </r>
  </si>
  <si>
    <r>
      <rPr>
        <sz val="10"/>
        <rFont val="Wingdings"/>
        <charset val="254"/>
      </rPr>
      <t></t>
    </r>
    <r>
      <rPr>
        <sz val="10"/>
        <rFont val="宋体"/>
        <charset val="254"/>
      </rPr>
      <t>一个以上的数学运算处理</t>
    </r>
  </si>
  <si>
    <r>
      <rPr>
        <sz val="10"/>
        <rFont val="Wingdings"/>
        <charset val="254"/>
      </rPr>
      <t></t>
    </r>
    <r>
      <rPr>
        <sz val="10"/>
        <rFont val="宋体"/>
        <charset val="254"/>
      </rPr>
      <t>由基础数据生成新的数据</t>
    </r>
  </si>
  <si>
    <r>
      <rPr>
        <sz val="10"/>
        <rFont val="Wingdings"/>
        <charset val="254"/>
      </rPr>
      <t></t>
    </r>
    <r>
      <rPr>
        <sz val="10"/>
        <rFont val="宋体"/>
        <charset val="254"/>
      </rPr>
      <t>对一个以上的ILF进行插入、修改、删除操作</t>
    </r>
  </si>
  <si>
    <r>
      <rPr>
        <sz val="10"/>
        <rFont val="Wingdings"/>
        <charset val="254"/>
      </rPr>
      <t></t>
    </r>
    <r>
      <rPr>
        <sz val="10"/>
        <rFont val="宋体"/>
        <charset val="254"/>
      </rPr>
      <t>执行系统动作的变更</t>
    </r>
  </si>
  <si>
    <t>通常EO个数计算如下：</t>
  </si>
  <si>
    <r>
      <rPr>
        <sz val="10"/>
        <rFont val="宋体"/>
        <charset val="254"/>
      </rPr>
      <t>1）</t>
    </r>
    <r>
      <rPr>
        <sz val="10"/>
        <rFont val="Times New Roman"/>
        <charset val="254"/>
      </rPr>
      <t xml:space="preserve">      </t>
    </r>
    <r>
      <rPr>
        <sz val="10"/>
        <rFont val="宋体"/>
        <charset val="254"/>
      </rPr>
      <t>输出的票据、报表、统计、文件、短信、彩信、邮件的个数</t>
    </r>
  </si>
  <si>
    <r>
      <rPr>
        <sz val="10"/>
        <rFont val="宋体"/>
        <charset val="254"/>
      </rPr>
      <t>2）</t>
    </r>
    <r>
      <rPr>
        <sz val="10"/>
        <rFont val="Times New Roman"/>
        <charset val="254"/>
      </rPr>
      <t xml:space="preserve">      </t>
    </r>
    <r>
      <rPr>
        <sz val="10"/>
        <rFont val="宋体"/>
        <charset val="254"/>
      </rPr>
      <t>IVR、短营、网营的调用外接口的反馈处理</t>
    </r>
  </si>
  <si>
    <r>
      <rPr>
        <sz val="10"/>
        <rFont val="宋体"/>
        <charset val="254"/>
      </rPr>
      <t>2.3</t>
    </r>
    <r>
      <rPr>
        <sz val="10"/>
        <rFont val="Times New Roman"/>
        <charset val="254"/>
      </rPr>
      <t xml:space="preserve">      </t>
    </r>
    <r>
      <rPr>
        <sz val="10"/>
        <rFont val="宋体"/>
        <charset val="254"/>
      </rPr>
      <t>外部查询处理（EQ）的判定基准</t>
    </r>
  </si>
  <si>
    <r>
      <rPr>
        <sz val="10"/>
        <rFont val="Wingdings"/>
        <charset val="254"/>
      </rPr>
      <t>l</t>
    </r>
    <r>
      <rPr>
        <sz val="10"/>
        <rFont val="Times New Roman"/>
        <charset val="254"/>
      </rPr>
      <t xml:space="preserve">  </t>
    </r>
    <r>
      <rPr>
        <sz val="10"/>
        <rFont val="宋体"/>
        <charset val="254"/>
      </rPr>
      <t>从系统边界外部获取数据</t>
    </r>
  </si>
  <si>
    <r>
      <rPr>
        <sz val="10"/>
        <rFont val="Wingdings"/>
        <charset val="254"/>
      </rPr>
      <t>l</t>
    </r>
    <r>
      <rPr>
        <sz val="10"/>
        <rFont val="Times New Roman"/>
        <charset val="254"/>
      </rPr>
      <t xml:space="preserve">  </t>
    </r>
    <r>
      <rPr>
        <sz val="10"/>
        <rFont val="宋体"/>
        <charset val="254"/>
      </rPr>
      <t>向系统边界外部输出数据</t>
    </r>
  </si>
  <si>
    <r>
      <rPr>
        <sz val="10"/>
        <rFont val="Wingdings"/>
        <charset val="254"/>
      </rPr>
      <t>l</t>
    </r>
    <r>
      <rPr>
        <sz val="10"/>
        <rFont val="Times New Roman"/>
        <charset val="254"/>
      </rPr>
      <t xml:space="preserve">  </t>
    </r>
    <r>
      <rPr>
        <sz val="10"/>
        <rFont val="宋体"/>
        <charset val="254"/>
      </rPr>
      <t>如果包含下列处理逻辑，则不是EQ：</t>
    </r>
  </si>
  <si>
    <t>通常EQ不能与EO/EI重复计算，EQ个数的计算规则如下：</t>
  </si>
  <si>
    <r>
      <rPr>
        <sz val="10"/>
        <rFont val="宋体"/>
        <charset val="254"/>
      </rPr>
      <t>1)</t>
    </r>
    <r>
      <rPr>
        <sz val="10"/>
        <rFont val="Times New Roman"/>
        <charset val="254"/>
      </rPr>
      <t xml:space="preserve">     </t>
    </r>
    <r>
      <rPr>
        <sz val="10"/>
        <rFont val="宋体"/>
        <charset val="254"/>
      </rPr>
      <t>提供查询界面输入并展示返回结果 </t>
    </r>
  </si>
  <si>
    <r>
      <rPr>
        <sz val="10"/>
        <rFont val="宋体"/>
        <charset val="254"/>
      </rPr>
      <t>2)</t>
    </r>
    <r>
      <rPr>
        <sz val="10"/>
        <rFont val="Times New Roman"/>
        <charset val="254"/>
      </rPr>
      <t xml:space="preserve">     </t>
    </r>
    <r>
      <rPr>
        <sz val="10"/>
        <rFont val="宋体"/>
        <charset val="254"/>
      </rPr>
      <t>配置每档套餐视为一个EQ</t>
    </r>
  </si>
  <si>
    <r>
      <rPr>
        <sz val="10"/>
        <rFont val="宋体"/>
        <charset val="254"/>
      </rPr>
      <t>3)</t>
    </r>
    <r>
      <rPr>
        <sz val="10"/>
        <rFont val="Times New Roman"/>
        <charset val="254"/>
      </rPr>
      <t xml:space="preserve">     </t>
    </r>
    <r>
      <rPr>
        <sz val="10"/>
        <rFont val="宋体"/>
        <charset val="254"/>
      </rPr>
      <t>工作流的一个流程变化视为一个EQ</t>
    </r>
  </si>
  <si>
    <r>
      <rPr>
        <sz val="10"/>
        <rFont val="宋体"/>
        <charset val="254"/>
      </rPr>
      <t>4)</t>
    </r>
    <r>
      <rPr>
        <sz val="10"/>
        <rFont val="Times New Roman"/>
        <charset val="254"/>
      </rPr>
      <t xml:space="preserve">     </t>
    </r>
    <r>
      <rPr>
        <sz val="10"/>
        <rFont val="宋体"/>
        <charset val="254"/>
      </rPr>
      <t>KPI计算与输出视为1个EQ</t>
    </r>
  </si>
  <si>
    <t>2.4内部逻辑文件（ILF）的判定基准</t>
  </si>
  <si>
    <t>在系统评估范围内，有检索操作，同时也有插入、更新、删除操作的数据</t>
  </si>
  <si>
    <t>通常ILF个数＝表（文件）的个数，需要进行归类和剔除，检索同一个文件，只算一个ILF。</t>
  </si>
  <si>
    <r>
      <rPr>
        <sz val="10"/>
        <rFont val="宋体"/>
        <charset val="254"/>
      </rPr>
      <t>1)</t>
    </r>
    <r>
      <rPr>
        <sz val="10"/>
        <rFont val="Times New Roman"/>
        <charset val="254"/>
      </rPr>
      <t xml:space="preserve">  </t>
    </r>
    <r>
      <rPr>
        <sz val="10"/>
        <rFont val="宋体"/>
        <charset val="254"/>
      </rPr>
      <t>后台数据库变更（包括增加、删除以及对字段的变更）的表个数，</t>
    </r>
  </si>
  <si>
    <r>
      <rPr>
        <sz val="10"/>
        <rFont val="宋体"/>
        <charset val="254"/>
      </rPr>
      <t>2)</t>
    </r>
    <r>
      <rPr>
        <sz val="10"/>
        <rFont val="Times New Roman"/>
        <charset val="254"/>
      </rPr>
      <t xml:space="preserve">  </t>
    </r>
    <r>
      <rPr>
        <sz val="10"/>
        <rFont val="宋体"/>
        <charset val="254"/>
      </rPr>
      <t>计费处理用到的文件、内存表的个数。</t>
    </r>
  </si>
  <si>
    <t>2.5 外部接口文件（EIF）的判定基准</t>
  </si>
  <si>
    <r>
      <rPr>
        <sz val="10"/>
        <rFont val="Wingdings"/>
        <charset val="254"/>
      </rPr>
      <t>l</t>
    </r>
    <r>
      <rPr>
        <sz val="10"/>
        <rFont val="Times New Roman"/>
        <charset val="254"/>
      </rPr>
      <t xml:space="preserve">  </t>
    </r>
    <r>
      <rPr>
        <sz val="10"/>
        <rFont val="宋体"/>
        <charset val="254"/>
      </rPr>
      <t>在系统评估范围内的系统检索，在评估范围外的系统保存的数据</t>
    </r>
  </si>
  <si>
    <r>
      <rPr>
        <sz val="10"/>
        <rFont val="Wingdings"/>
        <charset val="254"/>
      </rPr>
      <t>l</t>
    </r>
    <r>
      <rPr>
        <sz val="10"/>
        <rFont val="Times New Roman"/>
        <charset val="254"/>
      </rPr>
      <t xml:space="preserve"> </t>
    </r>
    <r>
      <rPr>
        <sz val="10"/>
        <rFont val="宋体"/>
        <charset val="254"/>
      </rPr>
      <t>在系统评估范围内，没有插入、更新、删除等操作的数据</t>
    </r>
  </si>
  <si>
    <r>
      <rPr>
        <sz val="10"/>
        <rFont val="Wingdings"/>
        <charset val="254"/>
      </rPr>
      <t>l</t>
    </r>
    <r>
      <rPr>
        <sz val="10"/>
        <rFont val="Times New Roman"/>
        <charset val="254"/>
      </rPr>
      <t xml:space="preserve"> </t>
    </r>
    <r>
      <rPr>
        <sz val="10"/>
        <rFont val="宋体"/>
        <charset val="254"/>
      </rPr>
      <t>是系统评估范围外系统的ILF</t>
    </r>
  </si>
  <si>
    <t xml:space="preserve">     通常EIF个数的计算：</t>
  </si>
  <si>
    <t>1） 评估范围外相关的表（文件）的个数</t>
  </si>
  <si>
    <t>类别</t>
  </si>
  <si>
    <t>子类别</t>
  </si>
  <si>
    <t>低对应工时(人天）</t>
  </si>
  <si>
    <t>功能点个数</t>
  </si>
  <si>
    <t>低工时小计</t>
  </si>
  <si>
    <t>中对应工时(人天）</t>
  </si>
  <si>
    <t>中工时小计</t>
  </si>
  <si>
    <t>高对应工时(人天）</t>
  </si>
  <si>
    <t>高工时小计</t>
  </si>
  <si>
    <t xml:space="preserve">关键信息如：界面、服务、表、接口配置、进程等描述
</t>
  </si>
  <si>
    <t>子类名</t>
  </si>
  <si>
    <t>复杂度纬度名称</t>
  </si>
  <si>
    <t>复杂度纬度值</t>
  </si>
  <si>
    <t>边界类型</t>
  </si>
  <si>
    <t>边界值</t>
  </si>
  <si>
    <t>界面类</t>
  </si>
  <si>
    <t>前台界面</t>
  </si>
  <si>
    <t>0-5</t>
  </si>
  <si>
    <t>6-8</t>
  </si>
  <si>
    <t>9-10</t>
  </si>
  <si>
    <t>页面元素数量</t>
  </si>
  <si>
    <t>低</t>
  </si>
  <si>
    <t>&lt;=10</t>
  </si>
  <si>
    <t>0-3</t>
  </si>
  <si>
    <t>4-5</t>
  </si>
  <si>
    <t>6-7</t>
  </si>
  <si>
    <t>中</t>
  </si>
  <si>
    <r>
      <rPr>
        <sz val="10"/>
        <rFont val="宋体"/>
        <charset val="254"/>
      </rPr>
      <t>11-</t>
    </r>
    <r>
      <rPr>
        <sz val="10"/>
        <rFont val="宋体"/>
        <charset val="254"/>
      </rPr>
      <t>2</t>
    </r>
    <r>
      <rPr>
        <sz val="10"/>
        <rFont val="宋体"/>
        <charset val="254"/>
      </rPr>
      <t>9</t>
    </r>
  </si>
  <si>
    <t>服务类</t>
  </si>
  <si>
    <t>业务服务</t>
  </si>
  <si>
    <t>高</t>
  </si>
  <si>
    <r>
      <rPr>
        <sz val="10"/>
        <rFont val="宋体"/>
        <charset val="254"/>
      </rPr>
      <t>&gt;=</t>
    </r>
    <r>
      <rPr>
        <sz val="10"/>
        <rFont val="宋体"/>
        <charset val="254"/>
      </rPr>
      <t>3</t>
    </r>
    <r>
      <rPr>
        <sz val="10"/>
        <rFont val="宋体"/>
        <charset val="254"/>
      </rPr>
      <t>0</t>
    </r>
  </si>
  <si>
    <t>业务规则数量</t>
  </si>
  <si>
    <r>
      <rPr>
        <sz val="10"/>
        <rFont val="宋体"/>
        <charset val="254"/>
      </rPr>
      <t>&lt;=</t>
    </r>
    <r>
      <rPr>
        <sz val="10"/>
        <rFont val="宋体"/>
        <charset val="254"/>
      </rPr>
      <t>3</t>
    </r>
  </si>
  <si>
    <t>微服务类</t>
  </si>
  <si>
    <t>4-7</t>
  </si>
  <si>
    <t>&gt;=8</t>
  </si>
  <si>
    <t>后台类</t>
  </si>
  <si>
    <t>后台进程</t>
  </si>
  <si>
    <t>新建</t>
  </si>
  <si>
    <t>涉及核心业务数量</t>
  </si>
  <si>
    <t>&lt;=1</t>
  </si>
  <si>
    <t>2-3</t>
  </si>
  <si>
    <t>配置类</t>
  </si>
  <si>
    <t>配置业务</t>
  </si>
  <si>
    <t>0-4</t>
  </si>
  <si>
    <t>5-6</t>
  </si>
  <si>
    <t>7-8</t>
  </si>
  <si>
    <t>&gt;4</t>
  </si>
  <si>
    <t>0-2</t>
  </si>
  <si>
    <t>3-4</t>
  </si>
  <si>
    <t>使用的主要数据库表数量</t>
  </si>
  <si>
    <r>
      <rPr>
        <sz val="10"/>
        <rFont val="宋体"/>
        <charset val="254"/>
      </rPr>
      <t>&lt;=</t>
    </r>
    <r>
      <rPr>
        <sz val="10"/>
        <rFont val="宋体"/>
        <charset val="254"/>
      </rPr>
      <t>2</t>
    </r>
  </si>
  <si>
    <t>接口类</t>
  </si>
  <si>
    <t>外部接口</t>
  </si>
  <si>
    <r>
      <rPr>
        <sz val="10"/>
        <rFont val="宋体"/>
        <charset val="254"/>
      </rPr>
      <t>3-</t>
    </r>
    <r>
      <rPr>
        <sz val="10"/>
        <rFont val="宋体"/>
        <charset val="254"/>
      </rPr>
      <t>4</t>
    </r>
  </si>
  <si>
    <t>合计</t>
  </si>
  <si>
    <t>业务逻辑改造点数量</t>
  </si>
  <si>
    <t>&lt;=2</t>
  </si>
  <si>
    <r>
      <rPr>
        <sz val="10"/>
        <rFont val="宋体"/>
        <charset val="254"/>
      </rPr>
      <t>3-</t>
    </r>
    <r>
      <rPr>
        <sz val="10"/>
        <rFont val="宋体"/>
        <charset val="254"/>
      </rPr>
      <t>5</t>
    </r>
  </si>
  <si>
    <r>
      <rPr>
        <sz val="10"/>
        <rFont val="宋体"/>
        <charset val="254"/>
      </rPr>
      <t>&gt;=</t>
    </r>
    <r>
      <rPr>
        <sz val="10"/>
        <rFont val="宋体"/>
        <charset val="254"/>
      </rPr>
      <t>6</t>
    </r>
  </si>
  <si>
    <t>逻辑关系</t>
  </si>
  <si>
    <t>配置脚本行数</t>
  </si>
  <si>
    <t>&lt;=200</t>
  </si>
  <si>
    <t>201-399</t>
  </si>
  <si>
    <t>&gt;=400</t>
  </si>
  <si>
    <t>影响核心业务数目</t>
  </si>
  <si>
    <t>接口类型</t>
  </si>
  <si>
    <t>表、HTTP、FTP</t>
  </si>
  <si>
    <t>Socket接口</t>
  </si>
  <si>
    <t>其他接口</t>
  </si>
  <si>
    <t>接口元素数量</t>
  </si>
  <si>
    <r>
      <rPr>
        <sz val="10"/>
        <rFont val="宋体"/>
        <charset val="254"/>
      </rPr>
      <t>&lt;=</t>
    </r>
    <r>
      <rPr>
        <sz val="10"/>
        <rFont val="宋体"/>
        <charset val="254"/>
      </rPr>
      <t>20</t>
    </r>
  </si>
  <si>
    <t>21-35</t>
  </si>
  <si>
    <r>
      <rPr>
        <sz val="10"/>
        <rFont val="宋体"/>
        <charset val="254"/>
      </rPr>
      <t>&gt;=</t>
    </r>
    <r>
      <rPr>
        <sz val="10"/>
        <rFont val="宋体"/>
        <charset val="254"/>
      </rPr>
      <t>36</t>
    </r>
  </si>
  <si>
    <t>外部联调接口数量</t>
  </si>
  <si>
    <t>11-20</t>
  </si>
  <si>
    <t>&gt;=20</t>
  </si>
  <si>
    <t>模块清单</t>
  </si>
  <si>
    <t>24小时自助营业厅</t>
  </si>
  <si>
    <t>IT运维门户[云智工坊]</t>
  </si>
  <si>
    <t>支付网关_收银台</t>
  </si>
  <si>
    <t>电子工作流-BOMC</t>
  </si>
  <si>
    <t>电子工作流-客户投诉</t>
  </si>
  <si>
    <t>短信营业厅</t>
  </si>
  <si>
    <t>集团代理商管理平台</t>
  </si>
  <si>
    <t>技术中台_IT服务管理[一线直通车]</t>
  </si>
  <si>
    <t>视频播控系统</t>
  </si>
  <si>
    <t>网格通</t>
  </si>
  <si>
    <t>新业务运营平台[IBOP]</t>
  </si>
  <si>
    <t>业务运营门户[BOP]</t>
  </si>
  <si>
    <t>业务运营平台[BIE]</t>
  </si>
  <si>
    <t>支撑辅助系统</t>
  </si>
  <si>
    <t>BSSP</t>
  </si>
  <si>
    <t>财务收入中心</t>
  </si>
  <si>
    <t>短消息交互中心[UIDP]</t>
  </si>
  <si>
    <t>发票打印</t>
  </si>
  <si>
    <t>稽核中心</t>
  </si>
  <si>
    <t>开通中心</t>
  </si>
  <si>
    <t>客户中心</t>
  </si>
  <si>
    <t>零售库存中心</t>
  </si>
  <si>
    <t>人脸识别系统</t>
  </si>
  <si>
    <t>销售中心</t>
  </si>
  <si>
    <t>营收平衡中心</t>
  </si>
  <si>
    <t>营销中心</t>
  </si>
  <si>
    <t>影像资料中心</t>
  </si>
  <si>
    <t>预制查询</t>
  </si>
  <si>
    <t>支付网关_综合支付</t>
  </si>
  <si>
    <t>技术中台_区块链数据校准中心</t>
  </si>
  <si>
    <t>数字身份认证平台[DIDP]</t>
  </si>
  <si>
    <t>统一P域名转发</t>
  </si>
  <si>
    <t>统一安全管理平台-认证鉴权中心[UAMS]</t>
  </si>
  <si>
    <t>GWRS</t>
  </si>
  <si>
    <t>SFDL</t>
  </si>
  <si>
    <t>互联网中心</t>
  </si>
  <si>
    <t>集中鉴权中心</t>
  </si>
  <si>
    <t>内容运营管理平台</t>
  </si>
  <si>
    <t>产商品中心</t>
  </si>
  <si>
    <t>话单采集系统</t>
  </si>
  <si>
    <t>计费系统</t>
  </si>
  <si>
    <t>技术中台_统一流程引擎</t>
  </si>
  <si>
    <t>结算系统</t>
  </si>
  <si>
    <t>局数据管理系统</t>
  </si>
  <si>
    <t>漫游系统</t>
  </si>
  <si>
    <t>梦网合作伙伴管理[SIMS]</t>
  </si>
  <si>
    <t>营业后台</t>
  </si>
  <si>
    <t>账务系统</t>
  </si>
  <si>
    <t>综合支付平台</t>
  </si>
  <si>
    <t>技术中台_ETL</t>
  </si>
  <si>
    <t>技术中台_门户</t>
  </si>
  <si>
    <t>能力网关</t>
  </si>
  <si>
    <t>统一安全管理平台-4A(B域)</t>
  </si>
  <si>
    <t>统一安全管理平台-SMP(B域)</t>
  </si>
  <si>
    <t>统一安全管理平台-安全威胁分析与预警平台</t>
  </si>
  <si>
    <t>统一安全管理平台-密码管理</t>
  </si>
  <si>
    <t>云桌面(营业厅)</t>
  </si>
  <si>
    <t>云桌面(运维)</t>
  </si>
  <si>
    <t>运营监控中心(B域)</t>
  </si>
  <si>
    <t>业务规则类型清单</t>
  </si>
  <si>
    <t>受理准入性规则</t>
  </si>
  <si>
    <t>产商品/营销案规则</t>
  </si>
  <si>
    <t>业务处理规则</t>
  </si>
  <si>
    <t>计费/账务规则</t>
  </si>
  <si>
    <t>提醒规则</t>
  </si>
  <si>
    <t>一级域</t>
  </si>
  <si>
    <t>二级域</t>
  </si>
  <si>
    <t>三级域</t>
  </si>
  <si>
    <t>四级域</t>
  </si>
  <si>
    <t>前台(BDM)</t>
  </si>
  <si>
    <t>IBOP</t>
  </si>
  <si>
    <t>核心类</t>
  </si>
  <si>
    <t>实名登记</t>
  </si>
  <si>
    <t>家庭业务</t>
  </si>
  <si>
    <t>服务变更</t>
  </si>
  <si>
    <t>账务服务</t>
  </si>
  <si>
    <t>终端销售</t>
  </si>
  <si>
    <t>增值业务</t>
  </si>
  <si>
    <t>资源管理</t>
  </si>
  <si>
    <t>客户服务</t>
  </si>
  <si>
    <t>工作管理</t>
  </si>
  <si>
    <t>订单管理</t>
  </si>
  <si>
    <t>政企业务</t>
  </si>
  <si>
    <t>物联网专网专号</t>
  </si>
  <si>
    <t>地市功能</t>
  </si>
  <si>
    <t>门户功能</t>
  </si>
  <si>
    <t>BOP</t>
  </si>
  <si>
    <t>集团综合运营平台（ESOP)</t>
  </si>
  <si>
    <t>综合营销服务平台</t>
  </si>
  <si>
    <t>渠道集中管控平台</t>
  </si>
  <si>
    <t>上行短信管理</t>
  </si>
  <si>
    <t>下行短信管理</t>
  </si>
  <si>
    <t>信息调查管理</t>
  </si>
  <si>
    <t>配置管理</t>
  </si>
  <si>
    <t>首页</t>
  </si>
  <si>
    <t>营销</t>
  </si>
  <si>
    <t>受理</t>
  </si>
  <si>
    <t>运营</t>
  </si>
  <si>
    <t>我的</t>
  </si>
  <si>
    <t>能力运营平台</t>
  </si>
  <si>
    <t>能力开放</t>
  </si>
  <si>
    <t>门户</t>
  </si>
  <si>
    <t>能力调用</t>
  </si>
  <si>
    <t>能力集成管控</t>
  </si>
  <si>
    <t>安全控制</t>
  </si>
  <si>
    <t>公共支撑</t>
  </si>
  <si>
    <t>业务中台B域</t>
  </si>
  <si>
    <t>参与人管理</t>
  </si>
  <si>
    <t>基本信息管理</t>
  </si>
  <si>
    <t>第三方账号管理</t>
  </si>
  <si>
    <t>参与人关系管理</t>
  </si>
  <si>
    <t>证件信息管理</t>
  </si>
  <si>
    <t>客户管理</t>
  </si>
  <si>
    <t>客户基本信息管理</t>
  </si>
  <si>
    <t>客户信息视图</t>
  </si>
  <si>
    <t>客户关系管理</t>
  </si>
  <si>
    <t>客户扩展属性管理</t>
  </si>
  <si>
    <t>竞争对手信息管理</t>
  </si>
  <si>
    <t>自然人管理</t>
  </si>
  <si>
    <t>自然人信息管理</t>
  </si>
  <si>
    <t>账户管理</t>
  </si>
  <si>
    <t>付费信息管理</t>
  </si>
  <si>
    <t>组织管理</t>
  </si>
  <si>
    <t>组织信息管理</t>
  </si>
  <si>
    <t>组织成员管理</t>
  </si>
  <si>
    <t>组织机构管理</t>
  </si>
  <si>
    <t>决策链管理</t>
  </si>
  <si>
    <t>用户管理</t>
  </si>
  <si>
    <t>用户信息管理</t>
  </si>
  <si>
    <t>提醒服务管理</t>
  </si>
  <si>
    <t>用户信用度管理</t>
  </si>
  <si>
    <t>订购实例管理</t>
  </si>
  <si>
    <t>权益会员管理</t>
  </si>
  <si>
    <t>用户状态管理</t>
  </si>
  <si>
    <t>群组管理</t>
  </si>
  <si>
    <t>群用户信息管理</t>
  </si>
  <si>
    <t>用户组信息管理</t>
  </si>
  <si>
    <t>系统管理</t>
  </si>
  <si>
    <t>身份认证管理</t>
  </si>
  <si>
    <t>证件类型配置</t>
  </si>
  <si>
    <t>集团行业属性管理</t>
  </si>
  <si>
    <t>参与人管理类服务</t>
  </si>
  <si>
    <t>参与人信息管理</t>
  </si>
  <si>
    <t>参与人角色管理</t>
  </si>
  <si>
    <t>客户管理类服务</t>
  </si>
  <si>
    <t>客户信息视图管理</t>
  </si>
  <si>
    <t>客户标签管理</t>
  </si>
  <si>
    <t>客户信息等级管理</t>
  </si>
  <si>
    <t>客户信用度管理</t>
  </si>
  <si>
    <t>自然人管理类服务</t>
  </si>
  <si>
    <t>自然人创建</t>
  </si>
  <si>
    <t>自然人查询</t>
  </si>
  <si>
    <t>自然人更新</t>
  </si>
  <si>
    <t>账户管理类服务</t>
  </si>
  <si>
    <t>付费关系管理</t>
  </si>
  <si>
    <t>组织管理类服务</t>
  </si>
  <si>
    <t>用户管理类服务</t>
  </si>
  <si>
    <t>用户密码管理</t>
  </si>
  <si>
    <t>权益会员信息管理</t>
  </si>
  <si>
    <t>用户标签管理</t>
  </si>
  <si>
    <t>群组管理类服务</t>
  </si>
  <si>
    <t>群组信息管理</t>
  </si>
  <si>
    <t>系统类服务</t>
  </si>
  <si>
    <t>身份鉴权管理</t>
  </si>
  <si>
    <t>随机密码管理</t>
  </si>
  <si>
    <t>凭证鉴权管理</t>
  </si>
  <si>
    <t>公共管理</t>
  </si>
  <si>
    <t>产品公共信息管理</t>
  </si>
  <si>
    <t>商品公共信息管理</t>
  </si>
  <si>
    <t>产品管理</t>
  </si>
  <si>
    <t>产品创建</t>
  </si>
  <si>
    <t>产品变更</t>
  </si>
  <si>
    <t>产品推广失效</t>
  </si>
  <si>
    <t>产品失效</t>
  </si>
  <si>
    <t>商品管理</t>
  </si>
  <si>
    <t>商品创建</t>
  </si>
  <si>
    <t>商品变更</t>
  </si>
  <si>
    <t>商品审核</t>
  </si>
  <si>
    <t>商品上下架</t>
  </si>
  <si>
    <t>商品失效</t>
  </si>
  <si>
    <t>商品测试</t>
  </si>
  <si>
    <t>量纲管理</t>
  </si>
  <si>
    <t>量纲信息管理</t>
  </si>
  <si>
    <t>量纲绑定关系管理</t>
  </si>
  <si>
    <t>优惠管理</t>
  </si>
  <si>
    <t>优惠规则管理</t>
  </si>
  <si>
    <t>优惠规则参数管理</t>
  </si>
  <si>
    <t>优惠对象管理</t>
  </si>
  <si>
    <t>优惠绑定关系管理</t>
  </si>
  <si>
    <t>融合业务管理</t>
  </si>
  <si>
    <t>融合业务模板管理</t>
  </si>
  <si>
    <t>融合业务构成管理</t>
  </si>
  <si>
    <t>融合业务构成约束管理</t>
  </si>
  <si>
    <t>业务服务模板管理</t>
  </si>
  <si>
    <t>服务模板管理</t>
  </si>
  <si>
    <t>服务模板参数管理</t>
  </si>
  <si>
    <t>一站式配置管理</t>
  </si>
  <si>
    <t>工作台管理</t>
  </si>
  <si>
    <t>商品统计分析</t>
  </si>
  <si>
    <t>促销配置管理</t>
  </si>
  <si>
    <t>促销元素管理</t>
  </si>
  <si>
    <t>促销模板管理</t>
  </si>
  <si>
    <t>促销活动管理</t>
  </si>
  <si>
    <t>团购管理</t>
  </si>
  <si>
    <t>团购信息管理</t>
  </si>
  <si>
    <t>团购绑定关系管理</t>
  </si>
  <si>
    <t>促销生命周期管理</t>
  </si>
  <si>
    <t>促销模板流程管理</t>
  </si>
  <si>
    <t>促销活动流程管理</t>
  </si>
  <si>
    <t>促销管控分析</t>
  </si>
  <si>
    <t>促销成本管理</t>
  </si>
  <si>
    <t>促销成本管控</t>
  </si>
  <si>
    <t>促销统计分析</t>
  </si>
  <si>
    <t>目录类服务</t>
  </si>
  <si>
    <t>目录查询</t>
  </si>
  <si>
    <t>特色目录管理</t>
  </si>
  <si>
    <t>检验算费类服务</t>
  </si>
  <si>
    <t>商品算价</t>
  </si>
  <si>
    <t>商品校验</t>
  </si>
  <si>
    <t>可见即能办</t>
  </si>
  <si>
    <t>产品类服务</t>
  </si>
  <si>
    <t>产品基本信息查询</t>
  </si>
  <si>
    <t>产品详细信息查询</t>
  </si>
  <si>
    <t>产品检索服务</t>
  </si>
  <si>
    <t>产品逻辑关系查询</t>
  </si>
  <si>
    <t>产品包含关系查询</t>
  </si>
  <si>
    <t>产品库存查询</t>
  </si>
  <si>
    <t>商品类服务</t>
  </si>
  <si>
    <t>商品基本信息查询</t>
  </si>
  <si>
    <t>商品销售信息查询</t>
  </si>
  <si>
    <t>商品库存查询</t>
  </si>
  <si>
    <t>商品二维码查询</t>
  </si>
  <si>
    <t>商品关系查询</t>
  </si>
  <si>
    <t>商品检索服务</t>
  </si>
  <si>
    <t>营销活动类服务</t>
  </si>
  <si>
    <t>营销活动配置</t>
  </si>
  <si>
    <t>营销活动查询</t>
  </si>
  <si>
    <t>营销活动校验</t>
  </si>
  <si>
    <t>订单中心</t>
  </si>
  <si>
    <t>订单预受理</t>
  </si>
  <si>
    <t>预受理单创建</t>
  </si>
  <si>
    <t>预受理单撤销</t>
  </si>
  <si>
    <t>预受理单修改</t>
  </si>
  <si>
    <t>预受理单转订单</t>
  </si>
  <si>
    <t>订单监控</t>
  </si>
  <si>
    <t>订单执行监控</t>
  </si>
  <si>
    <t>费用监控</t>
  </si>
  <si>
    <t>订单超时监控</t>
  </si>
  <si>
    <t>订单催单</t>
  </si>
  <si>
    <t>订单透明化</t>
  </si>
  <si>
    <t>订单调度信息查询</t>
  </si>
  <si>
    <t>订单受理</t>
  </si>
  <si>
    <t>订单创建</t>
  </si>
  <si>
    <t>订单撤销</t>
  </si>
  <si>
    <t>订单校验</t>
  </si>
  <si>
    <t>订单优惠</t>
  </si>
  <si>
    <t>订单确认</t>
  </si>
  <si>
    <t>资源预占</t>
  </si>
  <si>
    <t>订单状态查询</t>
  </si>
  <si>
    <t>订单信息查询</t>
  </si>
  <si>
    <t>购物车查询</t>
  </si>
  <si>
    <t>购物车项增加</t>
  </si>
  <si>
    <t>购物车项修改</t>
  </si>
  <si>
    <t>购物车校验</t>
  </si>
  <si>
    <t>购物车项删减</t>
  </si>
  <si>
    <t>购物车展示</t>
  </si>
  <si>
    <t>订单处理</t>
  </si>
  <si>
    <t>订单分解</t>
  </si>
  <si>
    <t>支付单处理</t>
  </si>
  <si>
    <t>订单反馈</t>
  </si>
  <si>
    <t>订单竣工</t>
  </si>
  <si>
    <t>配送单处理</t>
  </si>
  <si>
    <t>订单审核</t>
  </si>
  <si>
    <t>订单评价</t>
  </si>
  <si>
    <t>订单调度</t>
  </si>
  <si>
    <t>工单调度</t>
  </si>
  <si>
    <t>购物车管理类服务</t>
  </si>
  <si>
    <t>加入购物车服务</t>
  </si>
  <si>
    <t>购物车提交服务</t>
  </si>
  <si>
    <t>删除购物车服务</t>
  </si>
  <si>
    <t>购物车查询服务</t>
  </si>
  <si>
    <t>订单查询类服务</t>
  </si>
  <si>
    <t>客户订单基本信息查询服务</t>
  </si>
  <si>
    <t>客户订单详细信息查询服务</t>
  </si>
  <si>
    <t>配送单信息查询服务</t>
  </si>
  <si>
    <t>支付单查询服务</t>
  </si>
  <si>
    <t>预受理类服务</t>
  </si>
  <si>
    <t>预受理单创建服务</t>
  </si>
  <si>
    <t>预受理单撤销服务</t>
  </si>
  <si>
    <t>预受理单转订单服务</t>
  </si>
  <si>
    <t>订单受理类服务</t>
  </si>
  <si>
    <t>订单创建服务</t>
  </si>
  <si>
    <t>订单创建校验服务</t>
  </si>
  <si>
    <t>订单撤销服务</t>
  </si>
  <si>
    <t>短信二次确认结果接受</t>
  </si>
  <si>
    <t>订单处理类服务</t>
  </si>
  <si>
    <t>订单分解服务</t>
  </si>
  <si>
    <t>支付单拆分服务</t>
  </si>
  <si>
    <t>订单竣工服务</t>
  </si>
  <si>
    <t>订单反馈服务</t>
  </si>
  <si>
    <t>订单调度服务</t>
  </si>
  <si>
    <t>订单评价服务</t>
  </si>
  <si>
    <t>销售线索管理</t>
  </si>
  <si>
    <t>线索生成</t>
  </si>
  <si>
    <t>线索申查</t>
  </si>
  <si>
    <t>线索分派</t>
  </si>
  <si>
    <t>线索跟踪</t>
  </si>
  <si>
    <t>线索转化</t>
  </si>
  <si>
    <t>线索综合查询</t>
  </si>
  <si>
    <t>线索认领</t>
  </si>
  <si>
    <t>商机管理</t>
  </si>
  <si>
    <t>商机生成</t>
  </si>
  <si>
    <t>商机分派</t>
  </si>
  <si>
    <t>商机转化</t>
  </si>
  <si>
    <t>商机综合查询</t>
  </si>
  <si>
    <t>商机上报</t>
  </si>
  <si>
    <t>商机接收</t>
  </si>
  <si>
    <t>商机终止</t>
  </si>
  <si>
    <t>商机归档</t>
  </si>
  <si>
    <t>商机评估</t>
  </si>
  <si>
    <t>商机评审</t>
  </si>
  <si>
    <t>商机客情掌握</t>
  </si>
  <si>
    <t>商机关键里程碑跟进</t>
  </si>
  <si>
    <t>商机复盘</t>
  </si>
  <si>
    <t>商机奖惩</t>
  </si>
  <si>
    <t>商机视图</t>
  </si>
  <si>
    <t>合同管理</t>
  </si>
  <si>
    <t>合同模板管理</t>
  </si>
  <si>
    <t>合同归档</t>
  </si>
  <si>
    <t>合同稽核</t>
  </si>
  <si>
    <t>合同签约</t>
  </si>
  <si>
    <t>售后服务</t>
  </si>
  <si>
    <t>运营管理</t>
  </si>
  <si>
    <t>例行工作</t>
  </si>
  <si>
    <t>团队管理</t>
  </si>
  <si>
    <t>运营分析</t>
  </si>
  <si>
    <t>销售线索类服务</t>
  </si>
  <si>
    <t>销售线索创建</t>
  </si>
  <si>
    <t>销售线索更新</t>
  </si>
  <si>
    <t>销售线索查询</t>
  </si>
  <si>
    <t>销售线索分配</t>
  </si>
  <si>
    <t>销售线索认领</t>
  </si>
  <si>
    <t>销售线索审查</t>
  </si>
  <si>
    <t>销售线索转商机</t>
  </si>
  <si>
    <t>运营管理类服务</t>
  </si>
  <si>
    <t>销售处理分析</t>
  </si>
  <si>
    <t>销售漏斗分析</t>
  </si>
  <si>
    <t>销售排名分析</t>
  </si>
  <si>
    <t>商机流失分析</t>
  </si>
  <si>
    <t>销售运营监控分析</t>
  </si>
  <si>
    <t>合同分析</t>
  </si>
  <si>
    <t>商机类服务</t>
  </si>
  <si>
    <t>商机创建</t>
  </si>
  <si>
    <t>商机更新</t>
  </si>
  <si>
    <t>商机分配</t>
  </si>
  <si>
    <t>商机转订单通知</t>
  </si>
  <si>
    <t>物流管理</t>
  </si>
  <si>
    <t>库存管理</t>
  </si>
  <si>
    <t>对象信息管理</t>
  </si>
  <si>
    <t>有价卡管理</t>
  </si>
  <si>
    <t>计件物品管理</t>
  </si>
  <si>
    <t>SIM卡管理</t>
  </si>
  <si>
    <t>号码管理</t>
  </si>
  <si>
    <t>卡卷管理</t>
  </si>
  <si>
    <t>甲种卡管理</t>
  </si>
  <si>
    <t>综合管理</t>
  </si>
  <si>
    <t>渠道中心</t>
  </si>
  <si>
    <t>渠道人员信息管理</t>
  </si>
  <si>
    <t>渠道组织管理</t>
  </si>
  <si>
    <t>呼唤炮火</t>
  </si>
  <si>
    <t>统一调度</t>
  </si>
  <si>
    <t>网格化管理</t>
  </si>
  <si>
    <t>销售积分</t>
  </si>
  <si>
    <t>互联网排队管理</t>
  </si>
  <si>
    <t>盲点小区管理</t>
  </si>
  <si>
    <t>事件中心</t>
  </si>
  <si>
    <t>电子框架管理</t>
  </si>
  <si>
    <t>计费账务中心</t>
  </si>
  <si>
    <t>综合采集</t>
  </si>
  <si>
    <t>离线采集</t>
  </si>
  <si>
    <t>格式转换</t>
  </si>
  <si>
    <t>在线接入</t>
  </si>
  <si>
    <t>话单检错</t>
  </si>
  <si>
    <t>业务管理</t>
  </si>
  <si>
    <t>业务分析</t>
  </si>
  <si>
    <t>融合批价</t>
  </si>
  <si>
    <t>在线控制</t>
  </si>
  <si>
    <t>高额管理</t>
  </si>
  <si>
    <t>错单管理</t>
  </si>
  <si>
    <t>资费管理</t>
  </si>
  <si>
    <t>资费配置</t>
  </si>
  <si>
    <t>资费创建</t>
  </si>
  <si>
    <t>资费变更</t>
  </si>
  <si>
    <t>资费下线</t>
  </si>
  <si>
    <t>产商品资费</t>
  </si>
  <si>
    <t>账务处理</t>
  </si>
  <si>
    <t>出账计算</t>
  </si>
  <si>
    <t>虚拟出账</t>
  </si>
  <si>
    <t>开打检查</t>
  </si>
  <si>
    <t>经分接口</t>
  </si>
  <si>
    <t>出账关系分拣</t>
  </si>
  <si>
    <t>实时合账</t>
  </si>
  <si>
    <t>账务优惠</t>
  </si>
  <si>
    <t>分批出账</t>
  </si>
  <si>
    <t>综合账务</t>
  </si>
  <si>
    <t>缴费管理</t>
  </si>
  <si>
    <t>实时销账</t>
  </si>
  <si>
    <t>出账关系管理</t>
  </si>
  <si>
    <t>账单管理</t>
  </si>
  <si>
    <t>欠费管理</t>
  </si>
  <si>
    <t>发票管理</t>
  </si>
  <si>
    <t>账务关系管理</t>
  </si>
  <si>
    <t>提醒管理</t>
  </si>
  <si>
    <t>提醒控制</t>
  </si>
  <si>
    <t>提醒模板管理</t>
  </si>
  <si>
    <t>量纲来源管理</t>
  </si>
  <si>
    <t>量纲引擎</t>
  </si>
  <si>
    <t>量纲明细管理</t>
  </si>
  <si>
    <t>积分管理</t>
  </si>
  <si>
    <t>积分计算</t>
  </si>
  <si>
    <t>积分扣减</t>
  </si>
  <si>
    <t>积分冻结</t>
  </si>
  <si>
    <t>积分充值</t>
  </si>
  <si>
    <t>积分转赠</t>
  </si>
  <si>
    <t>余额管理</t>
  </si>
  <si>
    <t>实时账单数据管理</t>
  </si>
  <si>
    <t>免费资源数据管理</t>
  </si>
  <si>
    <t>消费提醒触发</t>
  </si>
  <si>
    <t>累积量管理</t>
  </si>
  <si>
    <t>余额数据管理</t>
  </si>
  <si>
    <t>账务管理类服务</t>
  </si>
  <si>
    <t>剩余量查询服务</t>
  </si>
  <si>
    <t>托收代扣服务</t>
  </si>
  <si>
    <t>缴费交易服务</t>
  </si>
  <si>
    <t>出账关系服务</t>
  </si>
  <si>
    <t>实时账单查询服务</t>
  </si>
  <si>
    <t>欠费查询服务</t>
  </si>
  <si>
    <t>电子发票查询服务</t>
  </si>
  <si>
    <t>积分管理类服务</t>
  </si>
  <si>
    <t>积分信息查询服务</t>
  </si>
  <si>
    <t>更新积分信息服务</t>
  </si>
  <si>
    <t>积分账务创建服务</t>
  </si>
  <si>
    <t>积分计划订购服务</t>
  </si>
  <si>
    <t>积分冻结解冻服务</t>
  </si>
  <si>
    <t>信用管理类服务</t>
  </si>
  <si>
    <t>信用查询服务</t>
  </si>
  <si>
    <t>信用变更服务</t>
  </si>
  <si>
    <t>资费类服务</t>
  </si>
  <si>
    <t>资费配置服务</t>
  </si>
  <si>
    <t>资费查询服务</t>
  </si>
  <si>
    <t>余额管理类服务</t>
  </si>
  <si>
    <t>累积量查询服务</t>
  </si>
  <si>
    <t>积累量转赠服务</t>
  </si>
  <si>
    <t>余额查询服务</t>
  </si>
  <si>
    <t>账详单中心</t>
  </si>
  <si>
    <t>详单管理</t>
  </si>
  <si>
    <t>帐单管理</t>
  </si>
  <si>
    <t>安全管控</t>
  </si>
  <si>
    <t>运维管理</t>
  </si>
  <si>
    <t>生产保障</t>
  </si>
  <si>
    <t>数据管理</t>
  </si>
  <si>
    <t>内容计费中心</t>
  </si>
  <si>
    <t>基础管理</t>
  </si>
  <si>
    <t>鉴权管理</t>
  </si>
  <si>
    <t>算费计费</t>
  </si>
  <si>
    <t>业务受理</t>
  </si>
  <si>
    <t>安管策略</t>
  </si>
  <si>
    <t>CP管理</t>
  </si>
  <si>
    <t>ITV用户管理</t>
  </si>
  <si>
    <t>话单出账</t>
  </si>
  <si>
    <t>结算中心</t>
  </si>
  <si>
    <t>数据源管理</t>
  </si>
  <si>
    <t>结算计算管理</t>
  </si>
  <si>
    <t>结算过程管理</t>
  </si>
  <si>
    <t>结算资料管理</t>
  </si>
  <si>
    <t>结算保障管理</t>
  </si>
  <si>
    <t>结算报表管理</t>
  </si>
  <si>
    <t>多屏清分管理</t>
  </si>
  <si>
    <t>运营管理中心</t>
  </si>
  <si>
    <t>受理认证</t>
  </si>
  <si>
    <t>受理结帐</t>
  </si>
  <si>
    <t>统一流程</t>
  </si>
  <si>
    <t>统一凭证</t>
  </si>
  <si>
    <t>企业管理</t>
  </si>
  <si>
    <t>通用审批平台</t>
  </si>
  <si>
    <t>问卷调查</t>
  </si>
  <si>
    <t>系统公告</t>
  </si>
  <si>
    <t>服务中心</t>
  </si>
  <si>
    <t>UIDP</t>
  </si>
  <si>
    <t>外呼</t>
  </si>
  <si>
    <t>集团客户经理短信发送</t>
  </si>
  <si>
    <t>支撑辅助平台</t>
  </si>
  <si>
    <t>投诉电子工作流</t>
  </si>
  <si>
    <t>稽核模块</t>
  </si>
  <si>
    <t>营收稽核管理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</si>
</sst>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宋体"/>
      <charset val="254"/>
      <scheme val="minor"/>
    </font>
    <font>
      <b/>
      <sz val="11"/>
      <color theme="1"/>
      <name val="宋体"/>
      <charset val="254"/>
      <scheme val="minor"/>
    </font>
    <font>
      <sz val="11"/>
      <color rgb="FF262626"/>
      <name val="宋体"/>
      <charset val="254"/>
      <scheme val="minor"/>
    </font>
    <font>
      <sz val="11"/>
      <color rgb="FF000000"/>
      <name val="宋体"/>
      <charset val="254"/>
      <scheme val="minor"/>
    </font>
    <font>
      <sz val="11"/>
      <color theme="1"/>
      <name val="宋体"/>
      <charset val="254"/>
    </font>
    <font>
      <sz val="10"/>
      <color theme="1"/>
      <name val="宋体"/>
      <charset val="254"/>
    </font>
    <font>
      <sz val="11"/>
      <name val="Consolas"/>
      <charset val="254"/>
    </font>
    <font>
      <sz val="11"/>
      <name val="宋体"/>
      <charset val="254"/>
    </font>
    <font>
      <sz val="10"/>
      <name val="宋体"/>
      <charset val="254"/>
    </font>
    <font>
      <sz val="10"/>
      <name val="Wingdings"/>
      <charset val="254"/>
    </font>
    <font>
      <sz val="10"/>
      <color rgb="FFFF0000"/>
      <name val="宋体"/>
      <charset val="254"/>
    </font>
    <font>
      <b/>
      <sz val="10"/>
      <name val="宋体"/>
      <charset val="254"/>
    </font>
    <font>
      <b/>
      <sz val="10"/>
      <color theme="1"/>
      <name val="宋体"/>
      <charset val="254"/>
    </font>
    <font>
      <u/>
      <sz val="11"/>
      <color rgb="FF0000FF"/>
      <name val="宋体"/>
      <charset val="254"/>
      <scheme val="minor"/>
    </font>
    <font>
      <u/>
      <sz val="11"/>
      <color rgb="FF800080"/>
      <name val="宋体"/>
      <charset val="254"/>
      <scheme val="minor"/>
    </font>
    <font>
      <sz val="11"/>
      <color rgb="FFFF0000"/>
      <name val="宋体"/>
      <charset val="254"/>
      <scheme val="minor"/>
    </font>
    <font>
      <sz val="18"/>
      <color theme="3"/>
      <name val="宋体"/>
      <charset val="254"/>
      <scheme val="major"/>
    </font>
    <font>
      <i/>
      <sz val="11"/>
      <color rgb="FF7F7F7F"/>
      <name val="宋体"/>
      <charset val="254"/>
      <scheme val="minor"/>
    </font>
    <font>
      <b/>
      <sz val="15"/>
      <color theme="3"/>
      <name val="宋体"/>
      <charset val="254"/>
      <scheme val="minor"/>
    </font>
    <font>
      <b/>
      <sz val="13"/>
      <color theme="3"/>
      <name val="宋体"/>
      <charset val="254"/>
      <scheme val="minor"/>
    </font>
    <font>
      <b/>
      <sz val="11"/>
      <color theme="3"/>
      <name val="宋体"/>
      <charset val="254"/>
      <scheme val="minor"/>
    </font>
    <font>
      <sz val="11"/>
      <color rgb="FF3F3F76"/>
      <name val="宋体"/>
      <charset val="254"/>
      <scheme val="minor"/>
    </font>
    <font>
      <b/>
      <sz val="11"/>
      <color rgb="FF3F3F3F"/>
      <name val="宋体"/>
      <charset val="254"/>
      <scheme val="minor"/>
    </font>
    <font>
      <b/>
      <sz val="11"/>
      <color rgb="FFFA7D00"/>
      <name val="宋体"/>
      <charset val="254"/>
      <scheme val="minor"/>
    </font>
    <font>
      <b/>
      <sz val="11"/>
      <color theme="0"/>
      <name val="宋体"/>
      <charset val="254"/>
      <scheme val="minor"/>
    </font>
    <font>
      <sz val="11"/>
      <color rgb="FFFA7D00"/>
      <name val="宋体"/>
      <charset val="254"/>
      <scheme val="minor"/>
    </font>
    <font>
      <sz val="11"/>
      <color rgb="FF006100"/>
      <name val="宋体"/>
      <charset val="254"/>
      <scheme val="minor"/>
    </font>
    <font>
      <sz val="11"/>
      <color rgb="FF9C0006"/>
      <name val="宋体"/>
      <charset val="254"/>
      <scheme val="minor"/>
    </font>
    <font>
      <sz val="11"/>
      <color rgb="FF9C5700"/>
      <name val="宋体"/>
      <charset val="254"/>
      <scheme val="minor"/>
    </font>
    <font>
      <sz val="11"/>
      <color theme="0"/>
      <name val="宋体"/>
      <charset val="254"/>
      <scheme val="minor"/>
    </font>
    <font>
      <sz val="12"/>
      <name val="宋体"/>
      <charset val="254"/>
    </font>
    <font>
      <sz val="12"/>
      <name val="Times New Roman"/>
      <charset val="254"/>
    </font>
    <font>
      <sz val="10"/>
      <name val="Times New Roman"/>
      <charset val="254"/>
    </font>
    <font>
      <sz val="9"/>
      <name val="宋体"/>
      <charset val="254"/>
    </font>
    <font>
      <b/>
      <sz val="9"/>
      <name val="Tahoma"/>
      <charset val="254"/>
    </font>
    <font>
      <sz val="9"/>
      <name val="Tahoma"/>
      <charset val="254"/>
    </font>
  </fonts>
  <fills count="39">
    <fill>
      <patternFill patternType="none"/>
    </fill>
    <fill>
      <patternFill patternType="gray125"/>
    </fill>
    <fill>
      <patternFill patternType="solid">
        <fgColor theme="7"/>
        <bgColor indexed="64"/>
      </patternFill>
    </fill>
    <fill>
      <patternFill patternType="solid">
        <fgColor rgb="FFFFC000"/>
        <bgColor indexed="64"/>
      </patternFill>
    </fill>
    <fill>
      <patternFill patternType="solid">
        <fgColor rgb="FFFFFF00"/>
        <bgColor indexed="64"/>
      </patternFill>
    </fill>
    <fill>
      <patternFill patternType="solid">
        <fgColor indexed="41"/>
        <bgColor indexed="64"/>
      </patternFill>
    </fill>
    <fill>
      <patternFill patternType="solid">
        <fgColor theme="6" tint="0.799981688894314"/>
        <bgColor indexed="64"/>
      </patternFill>
    </fill>
    <fill>
      <patternFill patternType="solid">
        <fgColor theme="0"/>
        <bgColor indexed="64"/>
      </patternFill>
    </fill>
    <fill>
      <patternFill patternType="solid">
        <fgColor indexed="9"/>
        <bgColor indexed="64"/>
      </patternFill>
    </fill>
    <fill>
      <patternFill patternType="solid">
        <fgColor indexed="4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top/>
      <bottom style="thin">
        <color auto="1"/>
      </bottom>
      <diagonal/>
    </border>
    <border>
      <left/>
      <right style="thin">
        <color auto="1"/>
      </right>
      <top style="thin">
        <color auto="1"/>
      </top>
      <bottom/>
      <diagonal/>
    </border>
    <border>
      <left/>
      <right/>
      <top style="thin">
        <color auto="1"/>
      </top>
      <bottom/>
      <diagonal/>
    </border>
    <border>
      <left style="thin">
        <color auto="1"/>
      </left>
      <right style="medium">
        <color auto="1"/>
      </right>
      <top style="thin">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indexed="8"/>
      </right>
      <top style="thin">
        <color auto="1"/>
      </top>
      <bottom style="thin">
        <color auto="1"/>
      </bottom>
      <diagonal/>
    </border>
    <border>
      <left style="thin">
        <color auto="1"/>
      </left>
      <right style="thin">
        <color indexed="8"/>
      </right>
      <top style="thin">
        <color auto="1"/>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10" borderId="2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6" applyNumberFormat="0" applyFill="0" applyAlignment="0" applyProtection="0">
      <alignment vertical="center"/>
    </xf>
    <xf numFmtId="0" fontId="19" fillId="0" borderId="27" applyNumberFormat="0" applyFill="0" applyAlignment="0" applyProtection="0">
      <alignment vertical="center"/>
    </xf>
    <xf numFmtId="0" fontId="20" fillId="0" borderId="28" applyNumberFormat="0" applyFill="0" applyAlignment="0" applyProtection="0">
      <alignment vertical="center"/>
    </xf>
    <xf numFmtId="0" fontId="20" fillId="0" borderId="0" applyNumberFormat="0" applyFill="0" applyBorder="0" applyAlignment="0" applyProtection="0">
      <alignment vertical="center"/>
    </xf>
    <xf numFmtId="0" fontId="21" fillId="11" borderId="29" applyNumberFormat="0" applyAlignment="0" applyProtection="0">
      <alignment vertical="center"/>
    </xf>
    <xf numFmtId="0" fontId="22" fillId="12" borderId="30" applyNumberFormat="0" applyAlignment="0" applyProtection="0">
      <alignment vertical="center"/>
    </xf>
    <xf numFmtId="0" fontId="23" fillId="12" borderId="29" applyNumberFormat="0" applyAlignment="0" applyProtection="0">
      <alignment vertical="center"/>
    </xf>
    <xf numFmtId="0" fontId="24" fillId="13" borderId="31" applyNumberFormat="0" applyAlignment="0" applyProtection="0">
      <alignment vertical="center"/>
    </xf>
    <xf numFmtId="0" fontId="25" fillId="0" borderId="32" applyNumberFormat="0" applyFill="0" applyAlignment="0" applyProtection="0">
      <alignment vertical="center"/>
    </xf>
    <xf numFmtId="0" fontId="1" fillId="0" borderId="33" applyNumberFormat="0" applyFill="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29"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29" fillId="25" borderId="0" applyNumberFormat="0" applyBorder="0" applyAlignment="0" applyProtection="0">
      <alignment vertical="center"/>
    </xf>
    <xf numFmtId="0" fontId="0" fillId="6"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29" fillId="2"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0" fillId="30" borderId="0" applyNumberFormat="0" applyBorder="0" applyAlignment="0" applyProtection="0">
      <alignment vertical="center"/>
    </xf>
    <xf numFmtId="0" fontId="29"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xf numFmtId="0" fontId="0" fillId="34" borderId="0" applyNumberFormat="0" applyBorder="0" applyAlignment="0" applyProtection="0">
      <alignment vertical="center"/>
    </xf>
    <xf numFmtId="0" fontId="29" fillId="35" borderId="0" applyNumberFormat="0" applyBorder="0" applyAlignment="0" applyProtection="0">
      <alignment vertical="center"/>
    </xf>
    <xf numFmtId="0" fontId="0" fillId="36"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30" fillId="0" borderId="0">
      <alignment vertical="center"/>
    </xf>
    <xf numFmtId="0" fontId="31" fillId="0" borderId="0"/>
    <xf numFmtId="0" fontId="30" fillId="0" borderId="0">
      <alignment vertical="center"/>
    </xf>
  </cellStyleXfs>
  <cellXfs count="118">
    <xf numFmtId="0" fontId="0" fillId="0" borderId="0" xfId="0"/>
    <xf numFmtId="0" fontId="0" fillId="0" borderId="0" xfId="0" applyFont="1"/>
    <xf numFmtId="0" fontId="0" fillId="0" borderId="0" xfId="0" applyFill="1"/>
    <xf numFmtId="0" fontId="1" fillId="2" borderId="1" xfId="0" applyFont="1" applyFill="1" applyBorder="1"/>
    <xf numFmtId="0" fontId="1" fillId="3" borderId="1" xfId="0" applyFont="1" applyFill="1" applyBorder="1" applyAlignment="1">
      <alignment horizontal="left"/>
    </xf>
    <xf numFmtId="0" fontId="0" fillId="0" borderId="2" xfId="0" applyBorder="1" applyAlignment="1">
      <alignment horizontal="center" vertical="center"/>
    </xf>
    <xf numFmtId="0" fontId="2" fillId="0" borderId="2" xfId="0" applyFont="1" applyBorder="1" applyAlignment="1">
      <alignment horizontal="center" vertical="center"/>
    </xf>
    <xf numFmtId="0" fontId="3" fillId="0" borderId="1" xfId="0" applyFont="1" applyBorder="1" applyAlignment="1">
      <alignment horizontal="left" readingOrder="1"/>
    </xf>
    <xf numFmtId="0" fontId="0" fillId="0" borderId="3" xfId="0" applyBorder="1" applyAlignment="1">
      <alignment horizontal="center" vertical="center"/>
    </xf>
    <xf numFmtId="0" fontId="2" fillId="0" borderId="3" xfId="0" applyFont="1" applyBorder="1" applyAlignment="1">
      <alignment horizontal="center" vertical="center"/>
    </xf>
    <xf numFmtId="0" fontId="3" fillId="0" borderId="1" xfId="0" applyFont="1" applyBorder="1" applyAlignment="1">
      <alignment horizontal="left" vertical="center" readingOrder="1"/>
    </xf>
    <xf numFmtId="0" fontId="2" fillId="0" borderId="4" xfId="0" applyFont="1" applyBorder="1" applyAlignment="1">
      <alignment horizontal="center" vertical="center"/>
    </xf>
    <xf numFmtId="0" fontId="2" fillId="0" borderId="2" xfId="0" applyFont="1" applyBorder="1" applyAlignment="1">
      <alignment horizontal="center" vertical="center" readingOrder="1"/>
    </xf>
    <xf numFmtId="0" fontId="2" fillId="0" borderId="3" xfId="0" applyFont="1" applyBorder="1" applyAlignment="1">
      <alignment horizontal="center" vertical="center" readingOrder="1"/>
    </xf>
    <xf numFmtId="0" fontId="2" fillId="0" borderId="4" xfId="0" applyFont="1" applyBorder="1" applyAlignment="1">
      <alignment horizontal="center" vertical="center" readingOrder="1"/>
    </xf>
    <xf numFmtId="0" fontId="2" fillId="0" borderId="1" xfId="0" applyFont="1" applyBorder="1" applyAlignment="1">
      <alignment horizontal="left"/>
    </xf>
    <xf numFmtId="0" fontId="2" fillId="0" borderId="1" xfId="0" applyFont="1" applyBorder="1" applyAlignment="1">
      <alignment horizontal="left" vertical="center" readingOrder="1"/>
    </xf>
    <xf numFmtId="0" fontId="0" fillId="0" borderId="4" xfId="0" applyBorder="1" applyAlignment="1">
      <alignment horizontal="center"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3" fillId="0" borderId="2" xfId="0" applyFont="1" applyBorder="1" applyAlignment="1">
      <alignment horizontal="center" vertical="center" readingOrder="1"/>
    </xf>
    <xf numFmtId="0" fontId="0" fillId="0" borderId="1" xfId="0" applyBorder="1"/>
    <xf numFmtId="0" fontId="3" fillId="0" borderId="3" xfId="0" applyFont="1" applyBorder="1" applyAlignment="1">
      <alignment horizontal="center" vertical="center" readingOrder="1"/>
    </xf>
    <xf numFmtId="0" fontId="3" fillId="0" borderId="4" xfId="0" applyFont="1" applyBorder="1" applyAlignment="1">
      <alignment horizontal="center" vertical="center" readingOrder="1"/>
    </xf>
    <xf numFmtId="0" fontId="3" fillId="0" borderId="1" xfId="0" applyFont="1" applyBorder="1" applyAlignment="1">
      <alignment horizontal="center" vertical="center" readingOrder="1"/>
    </xf>
    <xf numFmtId="0" fontId="0" fillId="0" borderId="2" xfId="0" applyFont="1" applyBorder="1" applyAlignment="1">
      <alignment horizontal="center" wrapText="1"/>
    </xf>
    <xf numFmtId="0" fontId="0" fillId="0" borderId="4" xfId="0" applyFont="1" applyBorder="1" applyAlignment="1">
      <alignment horizontal="left" wrapText="1"/>
    </xf>
    <xf numFmtId="0" fontId="0" fillId="0" borderId="4" xfId="0" applyFont="1" applyBorder="1" applyAlignment="1">
      <alignment horizontal="center" wrapText="1"/>
    </xf>
    <xf numFmtId="0" fontId="0" fillId="0" borderId="3" xfId="0" applyFont="1" applyBorder="1" applyAlignment="1">
      <alignment horizontal="center" wrapText="1"/>
    </xf>
    <xf numFmtId="0" fontId="0" fillId="0" borderId="1" xfId="0" applyBorder="1" applyAlignment="1">
      <alignment horizontal="center"/>
    </xf>
    <xf numFmtId="0" fontId="0" fillId="0" borderId="1" xfId="0" applyFont="1" applyBorder="1"/>
    <xf numFmtId="0" fontId="0" fillId="4" borderId="3" xfId="0" applyFill="1" applyBorder="1" applyAlignment="1">
      <alignment horizontal="center" vertical="center"/>
    </xf>
    <xf numFmtId="0" fontId="0" fillId="4" borderId="3" xfId="0" applyFont="1" applyFill="1" applyBorder="1" applyAlignment="1">
      <alignment horizontal="center" vertical="center"/>
    </xf>
    <xf numFmtId="0" fontId="3" fillId="4" borderId="2" xfId="0" applyFont="1" applyFill="1" applyBorder="1" applyAlignment="1">
      <alignment horizontal="center" vertical="center" readingOrder="1"/>
    </xf>
    <xf numFmtId="0" fontId="0" fillId="4" borderId="1" xfId="0" applyFill="1" applyBorder="1"/>
    <xf numFmtId="0" fontId="3" fillId="4" borderId="3" xfId="0" applyFont="1" applyFill="1" applyBorder="1" applyAlignment="1">
      <alignment horizontal="center" vertical="center" readingOrder="1"/>
    </xf>
    <xf numFmtId="0" fontId="3" fillId="4" borderId="4" xfId="0" applyFont="1" applyFill="1" applyBorder="1" applyAlignment="1">
      <alignment horizontal="center" vertical="center" readingOrder="1"/>
    </xf>
    <xf numFmtId="0" fontId="3" fillId="4" borderId="1" xfId="0" applyFont="1" applyFill="1" applyBorder="1" applyAlignment="1">
      <alignment horizontal="center" vertical="center" readingOrder="1"/>
    </xf>
    <xf numFmtId="0" fontId="0" fillId="0" borderId="1" xfId="0" applyFont="1" applyBorder="1" applyAlignment="1">
      <alignment horizontal="left" wrapText="1"/>
    </xf>
    <xf numFmtId="0" fontId="3" fillId="4" borderId="4" xfId="0" applyFont="1" applyFill="1" applyBorder="1" applyAlignment="1">
      <alignment horizontal="left" vertical="center" readingOrder="1"/>
    </xf>
    <xf numFmtId="0" fontId="3" fillId="4" borderId="1" xfId="0" applyFont="1" applyFill="1" applyBorder="1" applyAlignment="1">
      <alignment horizontal="left" vertical="center" readingOrder="1"/>
    </xf>
    <xf numFmtId="0" fontId="0" fillId="0" borderId="1" xfId="0" applyFont="1" applyBorder="1" applyAlignment="1">
      <alignment horizontal="left"/>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0" fontId="0" fillId="0" borderId="1" xfId="0" applyFont="1" applyBorder="1" applyAlignment="1">
      <alignment horizontal="center" vertical="center" wrapText="1"/>
    </xf>
    <xf numFmtId="0" fontId="4" fillId="0" borderId="0" xfId="0" applyFont="1"/>
    <xf numFmtId="0" fontId="5" fillId="4" borderId="1" xfId="0" applyFont="1" applyFill="1" applyBorder="1" applyAlignment="1">
      <alignment horizontal="center"/>
    </xf>
    <xf numFmtId="0" fontId="0" fillId="0" borderId="0" xfId="0" applyBorder="1"/>
    <xf numFmtId="0" fontId="5" fillId="0" borderId="1" xfId="0" applyFont="1" applyFill="1" applyBorder="1" applyAlignment="1"/>
    <xf numFmtId="0" fontId="6" fillId="0" borderId="0" xfId="0" applyFont="1" applyBorder="1" applyAlignment="1">
      <alignment vertical="center"/>
    </xf>
    <xf numFmtId="0" fontId="4" fillId="0" borderId="0" xfId="0" applyFont="1" applyBorder="1"/>
    <xf numFmtId="0" fontId="4" fillId="4" borderId="1" xfId="0" applyFont="1" applyFill="1" applyBorder="1" applyAlignment="1">
      <alignment horizontal="center"/>
    </xf>
    <xf numFmtId="0" fontId="7" fillId="0" borderId="1" xfId="0" applyFont="1" applyBorder="1" applyAlignment="1">
      <alignment vertical="center"/>
    </xf>
    <xf numFmtId="0" fontId="8" fillId="5" borderId="5"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0" fillId="0" borderId="0" xfId="0" applyAlignment="1">
      <alignment vertical="center"/>
    </xf>
    <xf numFmtId="0" fontId="8" fillId="6" borderId="1" xfId="0" applyFont="1" applyFill="1" applyBorder="1" applyAlignment="1">
      <alignment vertical="center"/>
    </xf>
    <xf numFmtId="0" fontId="8" fillId="7" borderId="1" xfId="0" applyFont="1" applyFill="1" applyBorder="1" applyAlignment="1">
      <alignment horizontal="center" vertical="center" wrapText="1"/>
    </xf>
    <xf numFmtId="0" fontId="8" fillId="7" borderId="1" xfId="0" applyFont="1" applyFill="1" applyBorder="1" applyAlignment="1">
      <alignment horizontal="center" vertical="center"/>
    </xf>
    <xf numFmtId="0" fontId="8" fillId="0" borderId="1" xfId="0" applyFont="1" applyBorder="1" applyAlignment="1">
      <alignment horizontal="center" vertical="center"/>
    </xf>
    <xf numFmtId="0" fontId="8" fillId="0" borderId="9" xfId="0" applyFont="1" applyBorder="1" applyAlignment="1">
      <alignment vertical="center" wrapText="1"/>
    </xf>
    <xf numFmtId="0" fontId="8" fillId="0" borderId="1" xfId="0" applyFont="1" applyBorder="1" applyAlignment="1">
      <alignment vertical="center"/>
    </xf>
    <xf numFmtId="49" fontId="8" fillId="0" borderId="1" xfId="0" applyNumberFormat="1"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wrapText="1"/>
    </xf>
    <xf numFmtId="0" fontId="8" fillId="0" borderId="9" xfId="0" applyFont="1" applyBorder="1" applyAlignment="1">
      <alignment horizontal="left" vertical="center" wrapText="1"/>
    </xf>
    <xf numFmtId="0" fontId="0" fillId="0" borderId="11" xfId="0" applyBorder="1" applyAlignment="1">
      <alignment vertical="center"/>
    </xf>
    <xf numFmtId="0" fontId="8" fillId="5" borderId="1" xfId="0" applyFont="1" applyFill="1" applyBorder="1" applyAlignment="1">
      <alignment horizontal="center" vertical="center" wrapText="1"/>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14" xfId="0" applyFont="1" applyBorder="1" applyAlignment="1">
      <alignment vertical="center" wrapText="1"/>
    </xf>
    <xf numFmtId="0" fontId="8" fillId="0" borderId="0" xfId="0" applyFont="1" applyFill="1" applyAlignment="1">
      <alignment vertical="center"/>
    </xf>
    <xf numFmtId="0" fontId="8" fillId="0" borderId="15" xfId="0" applyFont="1" applyFill="1" applyBorder="1" applyAlignment="1">
      <alignment vertical="center"/>
    </xf>
    <xf numFmtId="0" fontId="8" fillId="0" borderId="16" xfId="0" applyFont="1" applyFill="1" applyBorder="1" applyAlignment="1">
      <alignment vertical="center"/>
    </xf>
    <xf numFmtId="0" fontId="8" fillId="0" borderId="16" xfId="0" applyFont="1" applyFill="1" applyBorder="1" applyAlignment="1">
      <alignment horizontal="justify" vertical="center"/>
    </xf>
    <xf numFmtId="0" fontId="9" fillId="0" borderId="16" xfId="0" applyFont="1" applyFill="1" applyBorder="1" applyAlignment="1">
      <alignment horizontal="justify" vertical="center"/>
    </xf>
    <xf numFmtId="0" fontId="8" fillId="0" borderId="16" xfId="0" applyFont="1" applyFill="1" applyBorder="1" applyAlignment="1">
      <alignment horizontal="left" vertical="center"/>
    </xf>
    <xf numFmtId="0" fontId="10" fillId="0" borderId="16" xfId="0" applyFont="1" applyFill="1" applyBorder="1" applyAlignment="1">
      <alignment horizontal="justify" vertical="center"/>
    </xf>
    <xf numFmtId="0" fontId="8" fillId="0" borderId="17" xfId="0" applyFont="1" applyFill="1" applyBorder="1" applyAlignment="1">
      <alignment horizontal="justify" vertical="center"/>
    </xf>
    <xf numFmtId="0" fontId="8" fillId="8" borderId="0" xfId="50" applyFont="1" applyFill="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11" fillId="9" borderId="18" xfId="50" applyFont="1" applyFill="1" applyBorder="1" applyAlignment="1">
      <alignment vertical="center" wrapText="1"/>
    </xf>
    <xf numFmtId="0" fontId="11" fillId="9" borderId="19" xfId="50" applyFont="1" applyFill="1" applyBorder="1" applyAlignment="1">
      <alignment vertical="center" wrapText="1"/>
    </xf>
    <xf numFmtId="0" fontId="11" fillId="9" borderId="19" xfId="0" applyFont="1" applyFill="1" applyBorder="1" applyAlignment="1">
      <alignment vertical="center" wrapText="1"/>
    </xf>
    <xf numFmtId="0" fontId="11" fillId="9" borderId="19" xfId="50" applyFont="1" applyFill="1" applyBorder="1" applyAlignment="1">
      <alignment horizontal="center" vertical="center" wrapText="1"/>
    </xf>
    <xf numFmtId="0" fontId="11" fillId="9" borderId="20" xfId="50" applyFont="1" applyFill="1" applyBorder="1" applyAlignment="1">
      <alignment vertical="center" wrapText="1"/>
    </xf>
    <xf numFmtId="0" fontId="11" fillId="8" borderId="1" xfId="50" applyFont="1" applyFill="1" applyBorder="1" applyAlignment="1">
      <alignment horizontal="center" vertical="center" wrapText="1"/>
    </xf>
    <xf numFmtId="0" fontId="11" fillId="0" borderId="1" xfId="50" applyFont="1" applyFill="1" applyBorder="1" applyAlignment="1">
      <alignment horizontal="center" vertical="center" wrapText="1"/>
    </xf>
    <xf numFmtId="0" fontId="11" fillId="8" borderId="1" xfId="50" applyFont="1" applyFill="1" applyBorder="1" applyAlignment="1">
      <alignment horizontal="left" vertical="center" wrapText="1"/>
    </xf>
    <xf numFmtId="0" fontId="12" fillId="7" borderId="1" xfId="0" applyFont="1" applyFill="1" applyBorder="1" applyAlignment="1">
      <alignment horizontal="center" vertical="center" wrapText="1"/>
    </xf>
    <xf numFmtId="0" fontId="11" fillId="2" borderId="1" xfId="50" applyFont="1" applyFill="1" applyBorder="1" applyAlignment="1">
      <alignment horizontal="center" vertical="center" wrapText="1"/>
    </xf>
    <xf numFmtId="0" fontId="5" fillId="8" borderId="1" xfId="50" applyFont="1" applyFill="1" applyBorder="1" applyAlignment="1">
      <alignment horizontal="center" vertical="center" wrapText="1"/>
    </xf>
    <xf numFmtId="0" fontId="5" fillId="0" borderId="1" xfId="50" applyFont="1" applyFill="1" applyBorder="1" applyAlignment="1">
      <alignment horizontal="center" vertical="center" wrapText="1"/>
    </xf>
    <xf numFmtId="0" fontId="5" fillId="0" borderId="1" xfId="49" applyFont="1"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2" borderId="1" xfId="0" applyFont="1" applyFill="1" applyBorder="1" applyAlignment="1">
      <alignment horizontal="center" vertical="center" wrapText="1"/>
    </xf>
    <xf numFmtId="0" fontId="8" fillId="0" borderId="21" xfId="0"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0" fontId="5" fillId="0" borderId="1" xfId="0" applyFont="1" applyBorder="1" applyAlignment="1">
      <alignment vertical="center" wrapText="1"/>
    </xf>
    <xf numFmtId="0" fontId="5" fillId="0" borderId="2" xfId="0" applyFont="1" applyBorder="1" applyAlignment="1">
      <alignment vertic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5" fillId="2" borderId="2" xfId="0" applyFont="1" applyFill="1" applyBorder="1" applyAlignment="1">
      <alignment horizontal="center" vertical="center" wrapText="1"/>
    </xf>
    <xf numFmtId="0" fontId="8" fillId="0" borderId="22" xfId="0" applyFont="1" applyFill="1" applyBorder="1" applyAlignment="1">
      <alignment horizontal="center" vertical="center" wrapText="1"/>
    </xf>
    <xf numFmtId="0" fontId="5" fillId="0" borderId="23" xfId="0" applyFont="1" applyBorder="1" applyAlignment="1">
      <alignment vertical="center" wrapText="1"/>
    </xf>
    <xf numFmtId="0" fontId="5" fillId="8" borderId="2" xfId="50" applyFont="1" applyFill="1" applyBorder="1" applyAlignment="1">
      <alignment horizontal="center" vertical="center" wrapText="1"/>
    </xf>
    <xf numFmtId="0" fontId="5" fillId="0" borderId="2" xfId="50" applyFont="1" applyFill="1" applyBorder="1" applyAlignment="1">
      <alignment horizontal="center" vertical="center" wrapText="1"/>
    </xf>
    <xf numFmtId="0" fontId="5" fillId="0" borderId="24" xfId="0" applyFont="1" applyBorder="1" applyAlignment="1">
      <alignment vertical="center" wrapText="1"/>
    </xf>
    <xf numFmtId="0" fontId="8" fillId="0" borderId="1" xfId="0" applyFont="1" applyBorder="1" applyAlignment="1" quotePrefix="1">
      <alignment horizontal="center"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xfId="49"/>
    <cellStyle name="常规_中国电信软件开发类项目后评估_功能点统计-模版" xfId="50"/>
    <cellStyle name="常规_Fast Funtion Point Estimation Form" xfId="51"/>
  </cellStyles>
  <tableStyles count="0" defaultTableStyle="TableStyleMedium2" defaultPivotStyle="PivotStyleLight16"/>
  <colors>
    <mruColors>
      <color rgb="00FF0000"/>
      <color rgb="00EDEDED"/>
      <color rgb="0099CCFF"/>
      <color rgb="00CCFFFF"/>
      <color rgb="00262626"/>
      <color rgb="00FFC000"/>
      <color rgb="00FFFFFF"/>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wnloads\&#22823;&#23637;"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4037;&#20316;&#36164;&#26009;\&#24037;&#20316;&#39033;&#30446;\2007\&#38376;&#25143;&#32593;&#31449;&#22235;&#26399;&#25193;&#23481;&#24037;&#31243;\&#21487;&#30740;\&#27719;&#25253;\&#21487;&#30740;&#30456;&#20851;&#34920;&#26684;.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大展"/>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进度安排"/>
      <sheetName val="投资估算"/>
      <sheetName val="设备配置—现状"/>
      <sheetName val="功能结构-现状"/>
      <sheetName val="业务运营-现状"/>
      <sheetName val="功能结构－目标"/>
      <sheetName val="建设内容"/>
      <sheetName val="主机估算基础"/>
      <sheetName val="用户数"/>
      <sheetName val="web服务器"/>
      <sheetName val="中间件服务器"/>
      <sheetName val="数据库服务器"/>
      <sheetName val="服务器小结"/>
      <sheetName val="存储"/>
      <sheetName val="备份"/>
      <sheetName val="带宽"/>
      <sheetName val="短信_带宽"/>
      <sheetName val="TD_BOSS"/>
      <sheetName val="设备耗电"/>
      <sheetName val="开发估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7"/>
  <sheetViews>
    <sheetView tabSelected="1" zoomScale="130" zoomScaleNormal="130" workbookViewId="0">
      <selection activeCell="M3" sqref="M3"/>
    </sheetView>
  </sheetViews>
  <sheetFormatPr defaultColWidth="9.01801801801802" defaultRowHeight="12.4"/>
  <cols>
    <col min="1" max="1" width="6.40540540540541" style="87" customWidth="1"/>
    <col min="2" max="2" width="11.6216216216216" style="87" customWidth="1"/>
    <col min="3" max="3" width="14.5315315315315" style="87" customWidth="1"/>
    <col min="4" max="4" width="31.2072072072072" style="88" customWidth="1"/>
    <col min="5" max="5" width="9.01801801801802" style="87"/>
    <col min="6" max="6" width="25.7297297297297" style="89" customWidth="1"/>
    <col min="7" max="7" width="39.5045045045045" style="88" customWidth="1"/>
    <col min="8" max="13" width="9.01801801801802" style="87"/>
    <col min="14" max="14" width="17.8468468468468" style="88" customWidth="1"/>
    <col min="15" max="16384" width="9.01801801801802" style="88"/>
  </cols>
  <sheetData>
    <row r="1" s="86" customFormat="1" ht="12.45" spans="1:14">
      <c r="A1" s="90"/>
      <c r="B1" s="91"/>
      <c r="C1" s="91"/>
      <c r="D1" s="91"/>
      <c r="E1" s="91"/>
      <c r="F1" s="92"/>
      <c r="G1" s="91"/>
      <c r="H1" s="91" t="s">
        <v>0</v>
      </c>
      <c r="I1" s="93">
        <f>SUM(I3:I65505)</f>
        <v>556.8</v>
      </c>
      <c r="J1" s="93">
        <f>SUM(J3:J65505)</f>
        <v>165</v>
      </c>
      <c r="K1" s="93">
        <f>SUM(K3:K65505)</f>
        <v>96</v>
      </c>
      <c r="L1" s="93">
        <f>SUM(L3:L65505)</f>
        <v>176</v>
      </c>
      <c r="M1" s="93">
        <f>SUM(M3:M65505)</f>
        <v>0</v>
      </c>
      <c r="N1" s="94"/>
    </row>
    <row r="2" s="86" customFormat="1" ht="37.3" spans="1:14">
      <c r="A2" s="95" t="s">
        <v>1</v>
      </c>
      <c r="B2" s="95" t="s">
        <v>2</v>
      </c>
      <c r="C2" s="96" t="s">
        <v>3</v>
      </c>
      <c r="D2" s="97" t="s">
        <v>4</v>
      </c>
      <c r="E2" s="95" t="s">
        <v>5</v>
      </c>
      <c r="F2" s="98" t="s">
        <v>6</v>
      </c>
      <c r="G2" s="95" t="s">
        <v>7</v>
      </c>
      <c r="H2" s="96" t="s">
        <v>8</v>
      </c>
      <c r="I2" s="99" t="s">
        <v>9</v>
      </c>
      <c r="J2" s="96" t="s">
        <v>10</v>
      </c>
      <c r="K2" s="96" t="s">
        <v>11</v>
      </c>
      <c r="L2" s="99" t="s">
        <v>12</v>
      </c>
      <c r="M2" s="96" t="s">
        <v>13</v>
      </c>
      <c r="N2" s="95" t="s">
        <v>14</v>
      </c>
    </row>
    <row r="3" ht="111.85" spans="1:14">
      <c r="A3" s="100">
        <v>1</v>
      </c>
      <c r="B3" s="100" t="s">
        <v>15</v>
      </c>
      <c r="C3" s="101" t="s">
        <v>16</v>
      </c>
      <c r="D3" s="102" t="s">
        <v>17</v>
      </c>
      <c r="E3" s="103" t="s">
        <v>18</v>
      </c>
      <c r="F3" s="104" t="s">
        <v>19</v>
      </c>
      <c r="G3" s="102" t="s">
        <v>20</v>
      </c>
      <c r="H3" s="103" t="s">
        <v>21</v>
      </c>
      <c r="I3" s="105">
        <f t="shared" ref="I3:I40" si="0">IF(E3="EI",4,IF(E3="EO",5,IF(E3="EQ",4,IF(E3="ILF",10,IF(E3="EIF",7,0)))))*IF(H3="修改",0.6,1)</f>
        <v>4</v>
      </c>
      <c r="J3" s="106">
        <v>2</v>
      </c>
      <c r="K3" s="106">
        <v>1</v>
      </c>
      <c r="L3" s="105">
        <f t="shared" ref="L3:L27" si="1">J3*K3</f>
        <v>2</v>
      </c>
      <c r="M3" s="107"/>
      <c r="N3" s="108"/>
    </row>
    <row r="4" ht="49.7" spans="1:14">
      <c r="A4" s="100">
        <v>2</v>
      </c>
      <c r="B4" s="100" t="s">
        <v>15</v>
      </c>
      <c r="C4" s="101" t="s">
        <v>16</v>
      </c>
      <c r="D4" s="102" t="s">
        <v>22</v>
      </c>
      <c r="E4" s="103" t="s">
        <v>23</v>
      </c>
      <c r="F4" s="104" t="s">
        <v>24</v>
      </c>
      <c r="G4" s="102" t="s">
        <v>25</v>
      </c>
      <c r="H4" s="103" t="s">
        <v>21</v>
      </c>
      <c r="I4" s="105">
        <f t="shared" si="0"/>
        <v>10</v>
      </c>
      <c r="J4" s="106">
        <v>1</v>
      </c>
      <c r="K4" s="106">
        <v>1</v>
      </c>
      <c r="L4" s="105">
        <f t="shared" si="1"/>
        <v>1</v>
      </c>
      <c r="M4" s="107"/>
      <c r="N4" s="108"/>
    </row>
    <row r="5" ht="87" spans="1:14">
      <c r="A5" s="100">
        <v>3</v>
      </c>
      <c r="B5" s="100" t="s">
        <v>15</v>
      </c>
      <c r="C5" s="101" t="s">
        <v>16</v>
      </c>
      <c r="D5" s="102" t="s">
        <v>26</v>
      </c>
      <c r="E5" s="103" t="s">
        <v>18</v>
      </c>
      <c r="F5" s="104" t="s">
        <v>19</v>
      </c>
      <c r="G5" s="102" t="s">
        <v>27</v>
      </c>
      <c r="H5" s="103" t="s">
        <v>21</v>
      </c>
      <c r="I5" s="105">
        <f t="shared" si="0"/>
        <v>4</v>
      </c>
      <c r="J5" s="106">
        <v>2</v>
      </c>
      <c r="K5" s="106">
        <v>1</v>
      </c>
      <c r="L5" s="105">
        <f t="shared" si="1"/>
        <v>2</v>
      </c>
      <c r="M5" s="107"/>
      <c r="N5" s="108"/>
    </row>
    <row r="6" ht="62.15" spans="1:14">
      <c r="A6" s="100">
        <v>4</v>
      </c>
      <c r="B6" s="100" t="s">
        <v>15</v>
      </c>
      <c r="C6" s="101" t="s">
        <v>16</v>
      </c>
      <c r="D6" s="102" t="s">
        <v>28</v>
      </c>
      <c r="E6" s="103" t="s">
        <v>23</v>
      </c>
      <c r="F6" s="104" t="s">
        <v>24</v>
      </c>
      <c r="G6" s="102" t="s">
        <v>29</v>
      </c>
      <c r="H6" s="103" t="s">
        <v>21</v>
      </c>
      <c r="I6" s="105">
        <f t="shared" si="0"/>
        <v>10</v>
      </c>
      <c r="J6" s="106">
        <v>1</v>
      </c>
      <c r="K6" s="106">
        <v>1</v>
      </c>
      <c r="L6" s="105">
        <f t="shared" si="1"/>
        <v>1</v>
      </c>
      <c r="M6" s="107"/>
      <c r="N6" s="108"/>
    </row>
    <row r="7" ht="87" spans="1:14">
      <c r="A7" s="100">
        <v>5</v>
      </c>
      <c r="B7" s="100" t="s">
        <v>15</v>
      </c>
      <c r="C7" s="101" t="s">
        <v>16</v>
      </c>
      <c r="D7" s="102" t="s">
        <v>30</v>
      </c>
      <c r="E7" s="103" t="s">
        <v>18</v>
      </c>
      <c r="F7" s="104" t="s">
        <v>19</v>
      </c>
      <c r="G7" s="102" t="s">
        <v>31</v>
      </c>
      <c r="H7" s="103" t="s">
        <v>21</v>
      </c>
      <c r="I7" s="105">
        <f t="shared" si="0"/>
        <v>4</v>
      </c>
      <c r="J7" s="106">
        <v>1</v>
      </c>
      <c r="K7" s="106">
        <v>1</v>
      </c>
      <c r="L7" s="105">
        <f t="shared" si="1"/>
        <v>1</v>
      </c>
      <c r="M7" s="107"/>
      <c r="N7" s="108"/>
    </row>
    <row r="8" ht="49.7" spans="1:14">
      <c r="A8" s="100">
        <v>6</v>
      </c>
      <c r="B8" s="100" t="s">
        <v>15</v>
      </c>
      <c r="C8" s="101" t="s">
        <v>16</v>
      </c>
      <c r="D8" s="102" t="s">
        <v>32</v>
      </c>
      <c r="E8" s="103" t="s">
        <v>23</v>
      </c>
      <c r="F8" s="104" t="s">
        <v>24</v>
      </c>
      <c r="G8" s="102" t="s">
        <v>33</v>
      </c>
      <c r="H8" s="103" t="s">
        <v>21</v>
      </c>
      <c r="I8" s="105">
        <f t="shared" si="0"/>
        <v>10</v>
      </c>
      <c r="J8" s="106">
        <v>1</v>
      </c>
      <c r="K8" s="106">
        <v>1</v>
      </c>
      <c r="L8" s="105">
        <f t="shared" si="1"/>
        <v>1</v>
      </c>
      <c r="M8" s="107"/>
      <c r="N8" s="108"/>
    </row>
    <row r="9" ht="74.55" spans="1:14">
      <c r="A9" s="100">
        <v>7</v>
      </c>
      <c r="B9" s="100" t="s">
        <v>15</v>
      </c>
      <c r="C9" s="101" t="s">
        <v>16</v>
      </c>
      <c r="D9" s="102" t="s">
        <v>34</v>
      </c>
      <c r="E9" s="103" t="s">
        <v>23</v>
      </c>
      <c r="F9" s="104" t="s">
        <v>24</v>
      </c>
      <c r="G9" s="102" t="s">
        <v>35</v>
      </c>
      <c r="H9" s="103" t="s">
        <v>21</v>
      </c>
      <c r="I9" s="105">
        <f t="shared" si="0"/>
        <v>10</v>
      </c>
      <c r="J9" s="106">
        <v>1</v>
      </c>
      <c r="K9" s="106">
        <v>1</v>
      </c>
      <c r="L9" s="105">
        <f t="shared" si="1"/>
        <v>1</v>
      </c>
      <c r="M9" s="107"/>
      <c r="N9" s="108"/>
    </row>
    <row r="10" ht="62.15" spans="1:14">
      <c r="A10" s="100">
        <v>8</v>
      </c>
      <c r="B10" s="100" t="s">
        <v>15</v>
      </c>
      <c r="C10" s="101" t="s">
        <v>16</v>
      </c>
      <c r="D10" s="102" t="s">
        <v>36</v>
      </c>
      <c r="E10" s="103" t="s">
        <v>23</v>
      </c>
      <c r="F10" s="104" t="s">
        <v>24</v>
      </c>
      <c r="G10" s="102" t="s">
        <v>37</v>
      </c>
      <c r="H10" s="103" t="s">
        <v>21</v>
      </c>
      <c r="I10" s="105">
        <f t="shared" si="0"/>
        <v>10</v>
      </c>
      <c r="J10" s="106">
        <v>1</v>
      </c>
      <c r="K10" s="106">
        <v>1</v>
      </c>
      <c r="L10" s="105">
        <f t="shared" si="1"/>
        <v>1</v>
      </c>
      <c r="M10" s="107"/>
      <c r="N10" s="108"/>
    </row>
    <row r="11" ht="111.85" spans="1:14">
      <c r="A11" s="100">
        <v>9</v>
      </c>
      <c r="B11" s="100" t="s">
        <v>15</v>
      </c>
      <c r="C11" s="101" t="s">
        <v>16</v>
      </c>
      <c r="D11" s="102" t="s">
        <v>38</v>
      </c>
      <c r="E11" s="103" t="s">
        <v>18</v>
      </c>
      <c r="F11" s="104" t="s">
        <v>19</v>
      </c>
      <c r="G11" s="102" t="s">
        <v>39</v>
      </c>
      <c r="H11" s="103" t="s">
        <v>21</v>
      </c>
      <c r="I11" s="105">
        <f t="shared" si="0"/>
        <v>4</v>
      </c>
      <c r="J11" s="106">
        <v>2</v>
      </c>
      <c r="K11" s="106">
        <v>1</v>
      </c>
      <c r="L11" s="105">
        <f t="shared" si="1"/>
        <v>2</v>
      </c>
      <c r="M11" s="107"/>
      <c r="N11" s="108"/>
    </row>
    <row r="12" ht="62.15" spans="1:14">
      <c r="A12" s="100">
        <v>10</v>
      </c>
      <c r="B12" s="100" t="s">
        <v>15</v>
      </c>
      <c r="C12" s="101" t="s">
        <v>16</v>
      </c>
      <c r="D12" s="102" t="s">
        <v>40</v>
      </c>
      <c r="E12" s="103" t="s">
        <v>23</v>
      </c>
      <c r="F12" s="104" t="s">
        <v>24</v>
      </c>
      <c r="G12" s="102" t="s">
        <v>41</v>
      </c>
      <c r="H12" s="103" t="s">
        <v>21</v>
      </c>
      <c r="I12" s="105">
        <f t="shared" si="0"/>
        <v>10</v>
      </c>
      <c r="J12" s="106">
        <v>1</v>
      </c>
      <c r="K12" s="106">
        <v>1</v>
      </c>
      <c r="L12" s="105">
        <f t="shared" si="1"/>
        <v>1</v>
      </c>
      <c r="M12" s="107"/>
      <c r="N12" s="108"/>
    </row>
    <row r="13" ht="111.85" spans="1:14">
      <c r="A13" s="100">
        <v>11</v>
      </c>
      <c r="B13" s="100" t="s">
        <v>15</v>
      </c>
      <c r="C13" s="101" t="s">
        <v>16</v>
      </c>
      <c r="D13" s="102" t="s">
        <v>42</v>
      </c>
      <c r="E13" s="103" t="s">
        <v>18</v>
      </c>
      <c r="F13" s="104" t="s">
        <v>19</v>
      </c>
      <c r="G13" s="102" t="s">
        <v>43</v>
      </c>
      <c r="H13" s="103" t="s">
        <v>21</v>
      </c>
      <c r="I13" s="105">
        <f t="shared" si="0"/>
        <v>4</v>
      </c>
      <c r="J13" s="106">
        <v>2</v>
      </c>
      <c r="K13" s="106">
        <v>1</v>
      </c>
      <c r="L13" s="105">
        <f t="shared" si="1"/>
        <v>2</v>
      </c>
      <c r="M13" s="107"/>
      <c r="N13" s="108"/>
    </row>
    <row r="14" ht="62.15" spans="1:14">
      <c r="A14" s="100">
        <v>12</v>
      </c>
      <c r="B14" s="100" t="s">
        <v>15</v>
      </c>
      <c r="C14" s="101" t="s">
        <v>16</v>
      </c>
      <c r="D14" s="102" t="s">
        <v>44</v>
      </c>
      <c r="E14" s="103" t="s">
        <v>23</v>
      </c>
      <c r="F14" s="104" t="s">
        <v>24</v>
      </c>
      <c r="G14" s="102" t="s">
        <v>45</v>
      </c>
      <c r="H14" s="103" t="s">
        <v>21</v>
      </c>
      <c r="I14" s="105">
        <f t="shared" si="0"/>
        <v>10</v>
      </c>
      <c r="J14" s="106">
        <v>1</v>
      </c>
      <c r="K14" s="106">
        <v>1</v>
      </c>
      <c r="L14" s="105">
        <f t="shared" si="1"/>
        <v>1</v>
      </c>
      <c r="M14" s="107"/>
      <c r="N14" s="108"/>
    </row>
    <row r="15" ht="99.45" spans="1:14">
      <c r="A15" s="100">
        <v>13</v>
      </c>
      <c r="B15" s="100" t="s">
        <v>15</v>
      </c>
      <c r="C15" s="101" t="s">
        <v>16</v>
      </c>
      <c r="D15" s="102" t="s">
        <v>46</v>
      </c>
      <c r="E15" s="103" t="s">
        <v>18</v>
      </c>
      <c r="F15" s="104" t="s">
        <v>19</v>
      </c>
      <c r="G15" s="102" t="s">
        <v>47</v>
      </c>
      <c r="H15" s="103" t="s">
        <v>21</v>
      </c>
      <c r="I15" s="105">
        <f t="shared" si="0"/>
        <v>4</v>
      </c>
      <c r="J15" s="106">
        <v>2</v>
      </c>
      <c r="K15" s="106">
        <v>1</v>
      </c>
      <c r="L15" s="105">
        <f t="shared" si="1"/>
        <v>2</v>
      </c>
      <c r="M15" s="107"/>
      <c r="N15" s="108"/>
    </row>
    <row r="16" ht="49.7" spans="1:14">
      <c r="A16" s="100">
        <v>14</v>
      </c>
      <c r="B16" s="100" t="s">
        <v>15</v>
      </c>
      <c r="C16" s="101" t="s">
        <v>16</v>
      </c>
      <c r="D16" s="108" t="s">
        <v>48</v>
      </c>
      <c r="E16" s="103" t="s">
        <v>23</v>
      </c>
      <c r="F16" s="104" t="s">
        <v>24</v>
      </c>
      <c r="G16" s="108" t="s">
        <v>49</v>
      </c>
      <c r="H16" s="103" t="s">
        <v>21</v>
      </c>
      <c r="I16" s="105">
        <f t="shared" si="0"/>
        <v>10</v>
      </c>
      <c r="J16" s="106">
        <v>1</v>
      </c>
      <c r="K16" s="106">
        <v>1</v>
      </c>
      <c r="L16" s="105">
        <f t="shared" si="1"/>
        <v>1</v>
      </c>
      <c r="M16" s="107"/>
      <c r="N16" s="108"/>
    </row>
    <row r="17" ht="62.15" spans="1:14">
      <c r="A17" s="100">
        <v>15</v>
      </c>
      <c r="B17" s="100" t="s">
        <v>15</v>
      </c>
      <c r="C17" s="101" t="s">
        <v>16</v>
      </c>
      <c r="D17" s="108" t="s">
        <v>50</v>
      </c>
      <c r="E17" s="103" t="s">
        <v>23</v>
      </c>
      <c r="F17" s="104" t="s">
        <v>24</v>
      </c>
      <c r="G17" s="108" t="s">
        <v>51</v>
      </c>
      <c r="H17" s="103" t="s">
        <v>21</v>
      </c>
      <c r="I17" s="105">
        <f t="shared" si="0"/>
        <v>10</v>
      </c>
      <c r="J17" s="106">
        <v>1</v>
      </c>
      <c r="K17" s="106">
        <v>1</v>
      </c>
      <c r="L17" s="105">
        <f t="shared" si="1"/>
        <v>1</v>
      </c>
      <c r="M17" s="107"/>
      <c r="N17" s="108"/>
    </row>
    <row r="18" ht="62.15" spans="1:14">
      <c r="A18" s="100">
        <v>16</v>
      </c>
      <c r="B18" s="100" t="s">
        <v>15</v>
      </c>
      <c r="C18" s="101" t="s">
        <v>16</v>
      </c>
      <c r="D18" s="108" t="s">
        <v>52</v>
      </c>
      <c r="E18" s="103" t="s">
        <v>23</v>
      </c>
      <c r="F18" s="104" t="s">
        <v>24</v>
      </c>
      <c r="G18" s="108" t="s">
        <v>53</v>
      </c>
      <c r="H18" s="103" t="s">
        <v>21</v>
      </c>
      <c r="I18" s="105">
        <f t="shared" si="0"/>
        <v>10</v>
      </c>
      <c r="J18" s="106">
        <v>2</v>
      </c>
      <c r="K18" s="106">
        <v>1</v>
      </c>
      <c r="L18" s="105">
        <f t="shared" si="1"/>
        <v>2</v>
      </c>
      <c r="M18" s="107"/>
      <c r="N18" s="108"/>
    </row>
    <row r="19" ht="87" spans="1:14">
      <c r="A19" s="100">
        <v>17</v>
      </c>
      <c r="B19" s="100" t="s">
        <v>15</v>
      </c>
      <c r="C19" s="101" t="s">
        <v>16</v>
      </c>
      <c r="D19" s="109" t="s">
        <v>54</v>
      </c>
      <c r="E19" s="110" t="s">
        <v>23</v>
      </c>
      <c r="F19" s="111" t="s">
        <v>24</v>
      </c>
      <c r="G19" s="109" t="s">
        <v>55</v>
      </c>
      <c r="H19" s="110" t="s">
        <v>21</v>
      </c>
      <c r="I19" s="112">
        <f t="shared" si="0"/>
        <v>10</v>
      </c>
      <c r="J19" s="113">
        <v>4</v>
      </c>
      <c r="K19" s="113">
        <v>1</v>
      </c>
      <c r="L19" s="112">
        <f t="shared" si="1"/>
        <v>4</v>
      </c>
      <c r="M19" s="107"/>
      <c r="N19" s="109"/>
    </row>
    <row r="20" ht="111.85" spans="1:14">
      <c r="A20" s="100">
        <v>18</v>
      </c>
      <c r="B20" s="100" t="s">
        <v>15</v>
      </c>
      <c r="C20" s="101" t="s">
        <v>16</v>
      </c>
      <c r="D20" s="108" t="s">
        <v>56</v>
      </c>
      <c r="E20" s="103" t="s">
        <v>18</v>
      </c>
      <c r="F20" s="104" t="s">
        <v>19</v>
      </c>
      <c r="G20" s="108" t="s">
        <v>57</v>
      </c>
      <c r="H20" s="103" t="s">
        <v>21</v>
      </c>
      <c r="I20" s="105">
        <f t="shared" si="0"/>
        <v>4</v>
      </c>
      <c r="J20" s="103">
        <v>2</v>
      </c>
      <c r="K20" s="103">
        <v>1</v>
      </c>
      <c r="L20" s="105">
        <f t="shared" si="1"/>
        <v>2</v>
      </c>
      <c r="M20" s="107"/>
      <c r="N20" s="114"/>
    </row>
    <row r="21" ht="62.15" spans="1:14">
      <c r="A21" s="100">
        <v>19</v>
      </c>
      <c r="B21" s="100" t="s">
        <v>15</v>
      </c>
      <c r="C21" s="101" t="s">
        <v>16</v>
      </c>
      <c r="D21" s="108" t="s">
        <v>58</v>
      </c>
      <c r="E21" s="103" t="s">
        <v>23</v>
      </c>
      <c r="F21" s="104" t="s">
        <v>24</v>
      </c>
      <c r="G21" s="108" t="s">
        <v>59</v>
      </c>
      <c r="H21" s="103" t="s">
        <v>21</v>
      </c>
      <c r="I21" s="105">
        <f t="shared" si="0"/>
        <v>10</v>
      </c>
      <c r="J21" s="103">
        <v>1</v>
      </c>
      <c r="K21" s="103">
        <v>1</v>
      </c>
      <c r="L21" s="105">
        <f t="shared" si="1"/>
        <v>1</v>
      </c>
      <c r="M21" s="107"/>
      <c r="N21" s="114"/>
    </row>
    <row r="22" ht="87" spans="1:14">
      <c r="A22" s="100">
        <v>20</v>
      </c>
      <c r="B22" s="100" t="s">
        <v>15</v>
      </c>
      <c r="C22" s="101" t="s">
        <v>16</v>
      </c>
      <c r="D22" s="108" t="s">
        <v>60</v>
      </c>
      <c r="E22" s="103" t="s">
        <v>18</v>
      </c>
      <c r="F22" s="104" t="s">
        <v>19</v>
      </c>
      <c r="G22" s="108" t="s">
        <v>61</v>
      </c>
      <c r="H22" s="103" t="s">
        <v>21</v>
      </c>
      <c r="I22" s="105">
        <f t="shared" si="0"/>
        <v>4</v>
      </c>
      <c r="J22" s="103">
        <v>2</v>
      </c>
      <c r="K22" s="103">
        <v>1</v>
      </c>
      <c r="L22" s="105">
        <f t="shared" si="1"/>
        <v>2</v>
      </c>
      <c r="M22" s="107"/>
      <c r="N22" s="114"/>
    </row>
    <row r="23" ht="62.15" spans="1:14">
      <c r="A23" s="100">
        <v>21</v>
      </c>
      <c r="B23" s="100" t="s">
        <v>15</v>
      </c>
      <c r="C23" s="101" t="s">
        <v>16</v>
      </c>
      <c r="D23" s="108" t="s">
        <v>62</v>
      </c>
      <c r="E23" s="103" t="s">
        <v>23</v>
      </c>
      <c r="F23" s="104" t="s">
        <v>24</v>
      </c>
      <c r="G23" s="108" t="s">
        <v>63</v>
      </c>
      <c r="H23" s="103" t="s">
        <v>21</v>
      </c>
      <c r="I23" s="105">
        <f t="shared" si="0"/>
        <v>10</v>
      </c>
      <c r="J23" s="103">
        <v>2</v>
      </c>
      <c r="K23" s="103">
        <v>1</v>
      </c>
      <c r="L23" s="105">
        <f t="shared" si="1"/>
        <v>2</v>
      </c>
      <c r="M23" s="107"/>
      <c r="N23" s="114"/>
    </row>
    <row r="24" ht="87" spans="1:14">
      <c r="A24" s="100">
        <v>22</v>
      </c>
      <c r="B24" s="100" t="s">
        <v>15</v>
      </c>
      <c r="C24" s="101" t="s">
        <v>16</v>
      </c>
      <c r="D24" s="108" t="s">
        <v>64</v>
      </c>
      <c r="E24" s="103" t="s">
        <v>18</v>
      </c>
      <c r="F24" s="104" t="s">
        <v>19</v>
      </c>
      <c r="G24" s="108" t="s">
        <v>65</v>
      </c>
      <c r="H24" s="103" t="s">
        <v>21</v>
      </c>
      <c r="I24" s="105">
        <f t="shared" si="0"/>
        <v>4</v>
      </c>
      <c r="J24" s="103">
        <v>2</v>
      </c>
      <c r="K24" s="103">
        <v>1</v>
      </c>
      <c r="L24" s="105">
        <f t="shared" si="1"/>
        <v>2</v>
      </c>
      <c r="M24" s="107"/>
      <c r="N24" s="114"/>
    </row>
    <row r="25" ht="49.7" spans="1:14">
      <c r="A25" s="100">
        <v>23</v>
      </c>
      <c r="B25" s="100" t="s">
        <v>15</v>
      </c>
      <c r="C25" s="101" t="s">
        <v>16</v>
      </c>
      <c r="D25" s="108" t="s">
        <v>66</v>
      </c>
      <c r="E25" s="103" t="s">
        <v>23</v>
      </c>
      <c r="F25" s="104" t="s">
        <v>24</v>
      </c>
      <c r="G25" s="108" t="s">
        <v>67</v>
      </c>
      <c r="H25" s="103" t="s">
        <v>21</v>
      </c>
      <c r="I25" s="105">
        <f t="shared" si="0"/>
        <v>10</v>
      </c>
      <c r="J25" s="103">
        <v>1</v>
      </c>
      <c r="K25" s="103">
        <v>1</v>
      </c>
      <c r="L25" s="105">
        <f t="shared" si="1"/>
        <v>1</v>
      </c>
      <c r="M25" s="107"/>
      <c r="N25" s="114"/>
    </row>
    <row r="26" ht="62.15" spans="1:14">
      <c r="A26" s="100">
        <v>24</v>
      </c>
      <c r="B26" s="100" t="s">
        <v>15</v>
      </c>
      <c r="C26" s="101" t="s">
        <v>16</v>
      </c>
      <c r="D26" s="108" t="s">
        <v>68</v>
      </c>
      <c r="E26" s="103" t="s">
        <v>23</v>
      </c>
      <c r="F26" s="104" t="s">
        <v>24</v>
      </c>
      <c r="G26" s="108" t="s">
        <v>69</v>
      </c>
      <c r="H26" s="103" t="s">
        <v>21</v>
      </c>
      <c r="I26" s="105">
        <f t="shared" si="0"/>
        <v>10</v>
      </c>
      <c r="J26" s="103">
        <v>1</v>
      </c>
      <c r="K26" s="103">
        <v>1</v>
      </c>
      <c r="L26" s="105">
        <f t="shared" si="1"/>
        <v>1</v>
      </c>
      <c r="M26" s="107"/>
      <c r="N26" s="114"/>
    </row>
    <row r="27" ht="62.15" spans="1:14">
      <c r="A27" s="100">
        <v>25</v>
      </c>
      <c r="B27" s="100" t="s">
        <v>15</v>
      </c>
      <c r="C27" s="101" t="s">
        <v>16</v>
      </c>
      <c r="D27" s="108" t="s">
        <v>70</v>
      </c>
      <c r="E27" s="103" t="s">
        <v>23</v>
      </c>
      <c r="F27" s="104" t="s">
        <v>24</v>
      </c>
      <c r="G27" s="108" t="s">
        <v>71</v>
      </c>
      <c r="H27" s="103" t="s">
        <v>21</v>
      </c>
      <c r="I27" s="105">
        <f t="shared" si="0"/>
        <v>10</v>
      </c>
      <c r="J27" s="103">
        <v>2</v>
      </c>
      <c r="K27" s="103">
        <v>1</v>
      </c>
      <c r="L27" s="105">
        <f t="shared" si="1"/>
        <v>2</v>
      </c>
      <c r="M27" s="107"/>
      <c r="N27" s="114"/>
    </row>
    <row r="28" ht="87" spans="1:14">
      <c r="A28" s="100">
        <v>26</v>
      </c>
      <c r="B28" s="100" t="s">
        <v>15</v>
      </c>
      <c r="C28" s="101" t="s">
        <v>16</v>
      </c>
      <c r="D28" s="108" t="s">
        <v>72</v>
      </c>
      <c r="E28" s="103" t="s">
        <v>18</v>
      </c>
      <c r="F28" s="104" t="s">
        <v>19</v>
      </c>
      <c r="G28" s="108" t="s">
        <v>73</v>
      </c>
      <c r="H28" s="103" t="s">
        <v>21</v>
      </c>
      <c r="I28" s="105">
        <f t="shared" si="0"/>
        <v>4</v>
      </c>
      <c r="J28" s="103">
        <v>2</v>
      </c>
      <c r="K28" s="87">
        <v>1</v>
      </c>
      <c r="L28" s="105">
        <f>J28*K27</f>
        <v>2</v>
      </c>
      <c r="M28" s="107"/>
      <c r="N28" s="114"/>
    </row>
    <row r="29" ht="49.7" spans="1:14">
      <c r="A29" s="100">
        <v>27</v>
      </c>
      <c r="B29" s="100" t="s">
        <v>15</v>
      </c>
      <c r="C29" s="101" t="s">
        <v>16</v>
      </c>
      <c r="D29" s="108" t="s">
        <v>74</v>
      </c>
      <c r="E29" s="103" t="s">
        <v>23</v>
      </c>
      <c r="F29" s="104" t="s">
        <v>24</v>
      </c>
      <c r="G29" s="108" t="s">
        <v>75</v>
      </c>
      <c r="H29" s="103" t="s">
        <v>21</v>
      </c>
      <c r="I29" s="105">
        <f t="shared" si="0"/>
        <v>10</v>
      </c>
      <c r="J29" s="103">
        <v>1</v>
      </c>
      <c r="K29" s="103">
        <v>1</v>
      </c>
      <c r="L29" s="105">
        <f>J29*K29</f>
        <v>1</v>
      </c>
      <c r="M29" s="107"/>
      <c r="N29" s="114"/>
    </row>
    <row r="30" ht="99.45" spans="1:14">
      <c r="A30" s="100">
        <v>28</v>
      </c>
      <c r="B30" s="100" t="s">
        <v>15</v>
      </c>
      <c r="C30" s="101" t="s">
        <v>16</v>
      </c>
      <c r="D30" s="108" t="s">
        <v>76</v>
      </c>
      <c r="E30" s="103" t="s">
        <v>18</v>
      </c>
      <c r="F30" s="104" t="s">
        <v>19</v>
      </c>
      <c r="G30" s="108" t="s">
        <v>77</v>
      </c>
      <c r="H30" s="103" t="s">
        <v>21</v>
      </c>
      <c r="I30" s="105">
        <f t="shared" si="0"/>
        <v>4</v>
      </c>
      <c r="J30" s="103">
        <v>3</v>
      </c>
      <c r="K30" s="103">
        <v>1</v>
      </c>
      <c r="L30" s="105">
        <f>J30*L29</f>
        <v>3</v>
      </c>
      <c r="M30" s="107"/>
      <c r="N30" s="114"/>
    </row>
    <row r="31" ht="111.85" spans="1:14">
      <c r="A31" s="100">
        <v>29</v>
      </c>
      <c r="B31" s="100" t="s">
        <v>15</v>
      </c>
      <c r="C31" s="101" t="s">
        <v>16</v>
      </c>
      <c r="D31" s="108" t="s">
        <v>78</v>
      </c>
      <c r="E31" s="103" t="s">
        <v>18</v>
      </c>
      <c r="F31" s="104" t="s">
        <v>19</v>
      </c>
      <c r="G31" s="108" t="s">
        <v>79</v>
      </c>
      <c r="H31" s="103" t="s">
        <v>80</v>
      </c>
      <c r="I31" s="105">
        <f t="shared" si="0"/>
        <v>2.4</v>
      </c>
      <c r="J31" s="103">
        <v>1</v>
      </c>
      <c r="K31" s="103">
        <v>5</v>
      </c>
      <c r="L31" s="105">
        <f t="shared" ref="L31:L40" si="2">J31*K31</f>
        <v>5</v>
      </c>
      <c r="M31" s="107"/>
      <c r="N31" s="114"/>
    </row>
    <row r="32" ht="62.15" spans="1:14">
      <c r="A32" s="100">
        <v>30</v>
      </c>
      <c r="B32" s="100" t="s">
        <v>15</v>
      </c>
      <c r="C32" s="101" t="s">
        <v>16</v>
      </c>
      <c r="D32" s="108" t="s">
        <v>81</v>
      </c>
      <c r="E32" s="103" t="s">
        <v>18</v>
      </c>
      <c r="F32" s="104" t="s">
        <v>19</v>
      </c>
      <c r="G32" s="108" t="s">
        <v>82</v>
      </c>
      <c r="H32" s="103" t="s">
        <v>21</v>
      </c>
      <c r="I32" s="105">
        <f t="shared" si="0"/>
        <v>4</v>
      </c>
      <c r="J32" s="103">
        <v>2</v>
      </c>
      <c r="K32" s="103">
        <v>1</v>
      </c>
      <c r="L32" s="105">
        <f t="shared" si="2"/>
        <v>2</v>
      </c>
      <c r="M32" s="107"/>
      <c r="N32" s="114"/>
    </row>
    <row r="33" ht="87" spans="1:14">
      <c r="A33" s="100">
        <v>31</v>
      </c>
      <c r="B33" s="100" t="s">
        <v>15</v>
      </c>
      <c r="C33" s="101" t="s">
        <v>16</v>
      </c>
      <c r="D33" s="108" t="s">
        <v>83</v>
      </c>
      <c r="E33" s="103" t="s">
        <v>18</v>
      </c>
      <c r="F33" s="104" t="s">
        <v>19</v>
      </c>
      <c r="G33" s="108" t="s">
        <v>84</v>
      </c>
      <c r="H33" s="103" t="s">
        <v>21</v>
      </c>
      <c r="I33" s="105">
        <f t="shared" si="0"/>
        <v>4</v>
      </c>
      <c r="J33" s="103">
        <v>3</v>
      </c>
      <c r="K33" s="103">
        <v>1</v>
      </c>
      <c r="L33" s="105">
        <f t="shared" si="2"/>
        <v>3</v>
      </c>
      <c r="M33" s="107"/>
      <c r="N33" s="114"/>
    </row>
    <row r="34" ht="62.15" spans="1:14">
      <c r="A34" s="100">
        <v>32</v>
      </c>
      <c r="B34" s="100" t="s">
        <v>15</v>
      </c>
      <c r="C34" s="101" t="s">
        <v>16</v>
      </c>
      <c r="D34" s="108" t="s">
        <v>85</v>
      </c>
      <c r="E34" s="103" t="s">
        <v>18</v>
      </c>
      <c r="F34" s="104" t="s">
        <v>19</v>
      </c>
      <c r="G34" s="108" t="s">
        <v>86</v>
      </c>
      <c r="H34" s="103" t="s">
        <v>21</v>
      </c>
      <c r="I34" s="105">
        <f t="shared" si="0"/>
        <v>4</v>
      </c>
      <c r="J34" s="103">
        <v>3</v>
      </c>
      <c r="K34" s="103">
        <v>1</v>
      </c>
      <c r="L34" s="105">
        <f t="shared" si="2"/>
        <v>3</v>
      </c>
      <c r="M34" s="107"/>
      <c r="N34" s="114"/>
    </row>
    <row r="35" ht="87" spans="1:14">
      <c r="A35" s="100">
        <v>33</v>
      </c>
      <c r="B35" s="100" t="s">
        <v>15</v>
      </c>
      <c r="C35" s="101" t="s">
        <v>16</v>
      </c>
      <c r="D35" s="108" t="s">
        <v>87</v>
      </c>
      <c r="E35" s="103" t="s">
        <v>18</v>
      </c>
      <c r="F35" s="104" t="s">
        <v>19</v>
      </c>
      <c r="G35" s="108" t="s">
        <v>88</v>
      </c>
      <c r="H35" s="103" t="s">
        <v>21</v>
      </c>
      <c r="I35" s="105">
        <f t="shared" si="0"/>
        <v>4</v>
      </c>
      <c r="J35" s="103">
        <v>3</v>
      </c>
      <c r="K35" s="103">
        <v>1</v>
      </c>
      <c r="L35" s="105">
        <f t="shared" si="2"/>
        <v>3</v>
      </c>
      <c r="M35" s="107"/>
      <c r="N35" s="114"/>
    </row>
    <row r="36" ht="49.7" spans="1:14">
      <c r="A36" s="100">
        <v>34</v>
      </c>
      <c r="B36" s="100" t="s">
        <v>15</v>
      </c>
      <c r="C36" s="101" t="s">
        <v>16</v>
      </c>
      <c r="D36" s="108" t="s">
        <v>89</v>
      </c>
      <c r="E36" s="103" t="s">
        <v>18</v>
      </c>
      <c r="F36" s="104" t="s">
        <v>19</v>
      </c>
      <c r="G36" s="108" t="s">
        <v>90</v>
      </c>
      <c r="H36" s="103" t="s">
        <v>21</v>
      </c>
      <c r="I36" s="105">
        <f t="shared" si="0"/>
        <v>4</v>
      </c>
      <c r="J36" s="103">
        <v>2</v>
      </c>
      <c r="K36" s="103">
        <v>1</v>
      </c>
      <c r="L36" s="105">
        <f t="shared" si="2"/>
        <v>2</v>
      </c>
      <c r="M36" s="107"/>
      <c r="N36" s="114"/>
    </row>
    <row r="37" ht="87" spans="1:14">
      <c r="A37" s="100">
        <v>35</v>
      </c>
      <c r="B37" s="100" t="s">
        <v>15</v>
      </c>
      <c r="C37" s="101" t="s">
        <v>16</v>
      </c>
      <c r="D37" s="108" t="s">
        <v>91</v>
      </c>
      <c r="E37" s="103" t="s">
        <v>18</v>
      </c>
      <c r="F37" s="104" t="s">
        <v>19</v>
      </c>
      <c r="G37" s="108" t="s">
        <v>92</v>
      </c>
      <c r="H37" s="103" t="s">
        <v>21</v>
      </c>
      <c r="I37" s="105">
        <f t="shared" si="0"/>
        <v>4</v>
      </c>
      <c r="J37" s="103">
        <v>1</v>
      </c>
      <c r="K37" s="103">
        <v>1</v>
      </c>
      <c r="L37" s="105">
        <f t="shared" si="2"/>
        <v>1</v>
      </c>
      <c r="M37" s="107"/>
      <c r="N37" s="114"/>
    </row>
    <row r="38" ht="49.7" spans="1:14">
      <c r="A38" s="100">
        <v>36</v>
      </c>
      <c r="B38" s="100" t="s">
        <v>15</v>
      </c>
      <c r="C38" s="101" t="s">
        <v>16</v>
      </c>
      <c r="D38" s="108" t="s">
        <v>93</v>
      </c>
      <c r="E38" s="103" t="s">
        <v>23</v>
      </c>
      <c r="F38" s="104" t="s">
        <v>19</v>
      </c>
      <c r="G38" s="108" t="s">
        <v>94</v>
      </c>
      <c r="H38" s="103" t="s">
        <v>21</v>
      </c>
      <c r="I38" s="105">
        <f t="shared" si="0"/>
        <v>10</v>
      </c>
      <c r="J38" s="103">
        <v>1</v>
      </c>
      <c r="K38" s="103">
        <v>1</v>
      </c>
      <c r="L38" s="105">
        <f t="shared" si="2"/>
        <v>1</v>
      </c>
      <c r="M38" s="107"/>
      <c r="N38" s="114"/>
    </row>
    <row r="39" ht="99.45" spans="1:14">
      <c r="A39" s="100">
        <v>37</v>
      </c>
      <c r="B39" s="100" t="s">
        <v>15</v>
      </c>
      <c r="C39" s="101" t="s">
        <v>16</v>
      </c>
      <c r="D39" s="108" t="s">
        <v>95</v>
      </c>
      <c r="E39" s="103" t="s">
        <v>18</v>
      </c>
      <c r="F39" s="104" t="s">
        <v>19</v>
      </c>
      <c r="G39" s="108" t="s">
        <v>96</v>
      </c>
      <c r="H39" s="103" t="s">
        <v>21</v>
      </c>
      <c r="I39" s="105">
        <f t="shared" si="0"/>
        <v>4</v>
      </c>
      <c r="J39" s="103">
        <v>1</v>
      </c>
      <c r="K39" s="103">
        <v>1</v>
      </c>
      <c r="L39" s="105">
        <f t="shared" si="2"/>
        <v>1</v>
      </c>
      <c r="M39" s="107"/>
      <c r="N39" s="114"/>
    </row>
    <row r="40" ht="111.85" spans="1:14">
      <c r="A40" s="100">
        <v>38</v>
      </c>
      <c r="B40" s="100" t="s">
        <v>15</v>
      </c>
      <c r="C40" s="101" t="s">
        <v>16</v>
      </c>
      <c r="D40" s="108" t="s">
        <v>97</v>
      </c>
      <c r="E40" s="103" t="s">
        <v>18</v>
      </c>
      <c r="F40" s="104" t="s">
        <v>19</v>
      </c>
      <c r="G40" s="108" t="s">
        <v>98</v>
      </c>
      <c r="H40" s="103" t="s">
        <v>80</v>
      </c>
      <c r="I40" s="105">
        <f t="shared" si="0"/>
        <v>2.4</v>
      </c>
      <c r="J40" s="103">
        <v>1</v>
      </c>
      <c r="K40" s="103">
        <v>8</v>
      </c>
      <c r="L40" s="105">
        <f t="shared" si="2"/>
        <v>8</v>
      </c>
      <c r="M40" s="107"/>
      <c r="N40" s="114"/>
    </row>
    <row r="41" ht="74.55" spans="1:14">
      <c r="A41" s="100">
        <v>39</v>
      </c>
      <c r="B41" s="100" t="s">
        <v>15</v>
      </c>
      <c r="C41" s="101" t="s">
        <v>16</v>
      </c>
      <c r="D41" s="108" t="s">
        <v>99</v>
      </c>
      <c r="E41" s="103" t="s">
        <v>18</v>
      </c>
      <c r="F41" s="104" t="s">
        <v>19</v>
      </c>
      <c r="G41" s="108" t="s">
        <v>100</v>
      </c>
      <c r="H41" s="103" t="s">
        <v>21</v>
      </c>
      <c r="I41" s="105">
        <f t="shared" ref="I41:I52" si="3">IF(E41="EI",4,IF(E41="EO",5,IF(E41="EQ",4,IF(E41="ILF",10,IF(E41="EIF",7,0)))))*IF(H41="修改",0.6,1)</f>
        <v>4</v>
      </c>
      <c r="J41" s="103">
        <v>2</v>
      </c>
      <c r="K41" s="103">
        <v>1</v>
      </c>
      <c r="L41" s="105">
        <f t="shared" ref="L41:L52" si="4">J41*K41</f>
        <v>2</v>
      </c>
      <c r="M41" s="107"/>
      <c r="N41" s="114"/>
    </row>
    <row r="42" ht="99.45" spans="1:14">
      <c r="A42" s="100">
        <v>40</v>
      </c>
      <c r="B42" s="100" t="s">
        <v>15</v>
      </c>
      <c r="C42" s="101" t="s">
        <v>16</v>
      </c>
      <c r="D42" s="108" t="s">
        <v>101</v>
      </c>
      <c r="E42" s="103" t="s">
        <v>18</v>
      </c>
      <c r="F42" s="104" t="s">
        <v>19</v>
      </c>
      <c r="G42" s="108" t="s">
        <v>102</v>
      </c>
      <c r="H42" s="103" t="s">
        <v>21</v>
      </c>
      <c r="I42" s="105">
        <f t="shared" si="3"/>
        <v>4</v>
      </c>
      <c r="J42" s="103">
        <v>2</v>
      </c>
      <c r="K42" s="103">
        <v>1</v>
      </c>
      <c r="L42" s="105">
        <f t="shared" si="4"/>
        <v>2</v>
      </c>
      <c r="M42" s="107"/>
      <c r="N42" s="114"/>
    </row>
    <row r="43" ht="136.7" spans="1:14">
      <c r="A43" s="100">
        <v>41</v>
      </c>
      <c r="B43" s="115" t="s">
        <v>15</v>
      </c>
      <c r="C43" s="116" t="s">
        <v>16</v>
      </c>
      <c r="D43" s="108" t="s">
        <v>103</v>
      </c>
      <c r="E43" s="103" t="s">
        <v>18</v>
      </c>
      <c r="F43" s="104" t="s">
        <v>19</v>
      </c>
      <c r="G43" s="108" t="s">
        <v>104</v>
      </c>
      <c r="H43" s="103" t="s">
        <v>21</v>
      </c>
      <c r="I43" s="105">
        <f t="shared" si="3"/>
        <v>4</v>
      </c>
      <c r="J43" s="103">
        <v>3</v>
      </c>
      <c r="K43" s="103">
        <v>1</v>
      </c>
      <c r="L43" s="105">
        <f t="shared" si="4"/>
        <v>3</v>
      </c>
      <c r="M43" s="107"/>
      <c r="N43" s="114"/>
    </row>
    <row r="44" ht="87" spans="1:14">
      <c r="A44" s="100">
        <v>42</v>
      </c>
      <c r="B44" s="115" t="s">
        <v>15</v>
      </c>
      <c r="C44" s="116" t="s">
        <v>16</v>
      </c>
      <c r="D44" s="108" t="s">
        <v>105</v>
      </c>
      <c r="E44" s="103" t="s">
        <v>23</v>
      </c>
      <c r="F44" s="104" t="s">
        <v>24</v>
      </c>
      <c r="G44" s="108" t="s">
        <v>106</v>
      </c>
      <c r="H44" s="103" t="s">
        <v>21</v>
      </c>
      <c r="I44" s="105">
        <f t="shared" si="3"/>
        <v>10</v>
      </c>
      <c r="J44" s="103">
        <v>3</v>
      </c>
      <c r="K44" s="103">
        <v>1</v>
      </c>
      <c r="L44" s="105">
        <f t="shared" si="4"/>
        <v>3</v>
      </c>
      <c r="M44" s="107"/>
      <c r="N44" s="114"/>
    </row>
    <row r="45" ht="99.45" spans="1:14">
      <c r="A45" s="100">
        <v>43</v>
      </c>
      <c r="B45" s="115" t="s">
        <v>15</v>
      </c>
      <c r="C45" s="116" t="s">
        <v>16</v>
      </c>
      <c r="D45" s="108" t="s">
        <v>107</v>
      </c>
      <c r="E45" s="103" t="s">
        <v>108</v>
      </c>
      <c r="F45" s="104" t="s">
        <v>109</v>
      </c>
      <c r="G45" s="108" t="s">
        <v>110</v>
      </c>
      <c r="H45" s="103" t="s">
        <v>21</v>
      </c>
      <c r="I45" s="105">
        <f t="shared" si="3"/>
        <v>5</v>
      </c>
      <c r="J45" s="103">
        <v>3</v>
      </c>
      <c r="K45" s="103">
        <v>1</v>
      </c>
      <c r="L45" s="105">
        <f t="shared" si="4"/>
        <v>3</v>
      </c>
      <c r="M45" s="107"/>
      <c r="N45" s="114"/>
    </row>
    <row r="46" ht="99.45" spans="1:14">
      <c r="A46" s="100">
        <v>44</v>
      </c>
      <c r="B46" s="115" t="s">
        <v>15</v>
      </c>
      <c r="C46" s="116" t="s">
        <v>16</v>
      </c>
      <c r="D46" s="108" t="s">
        <v>111</v>
      </c>
      <c r="E46" s="103" t="s">
        <v>23</v>
      </c>
      <c r="F46" s="104" t="s">
        <v>24</v>
      </c>
      <c r="G46" s="108" t="s">
        <v>112</v>
      </c>
      <c r="H46" s="103" t="s">
        <v>21</v>
      </c>
      <c r="I46" s="105">
        <f t="shared" si="3"/>
        <v>10</v>
      </c>
      <c r="J46" s="103">
        <v>2</v>
      </c>
      <c r="K46" s="103">
        <v>1</v>
      </c>
      <c r="L46" s="105">
        <f t="shared" si="4"/>
        <v>2</v>
      </c>
      <c r="M46" s="107"/>
      <c r="N46" s="114"/>
    </row>
    <row r="47" ht="99.45" spans="1:14">
      <c r="A47" s="100">
        <v>45</v>
      </c>
      <c r="B47" s="115" t="s">
        <v>15</v>
      </c>
      <c r="C47" s="116" t="s">
        <v>16</v>
      </c>
      <c r="D47" s="108" t="s">
        <v>113</v>
      </c>
      <c r="E47" s="103" t="s">
        <v>18</v>
      </c>
      <c r="F47" s="104" t="s">
        <v>19</v>
      </c>
      <c r="G47" s="108" t="s">
        <v>114</v>
      </c>
      <c r="H47" s="103" t="s">
        <v>21</v>
      </c>
      <c r="I47" s="105">
        <f t="shared" si="3"/>
        <v>4</v>
      </c>
      <c r="J47" s="103">
        <v>2</v>
      </c>
      <c r="K47" s="103">
        <v>1</v>
      </c>
      <c r="L47" s="105">
        <f t="shared" si="4"/>
        <v>2</v>
      </c>
      <c r="M47" s="107"/>
      <c r="N47" s="114"/>
    </row>
    <row r="48" ht="74.55" spans="1:14">
      <c r="A48" s="100">
        <v>46</v>
      </c>
      <c r="B48" s="115" t="s">
        <v>15</v>
      </c>
      <c r="C48" s="116" t="s">
        <v>16</v>
      </c>
      <c r="D48" s="108" t="s">
        <v>115</v>
      </c>
      <c r="E48" s="103" t="s">
        <v>23</v>
      </c>
      <c r="F48" s="104" t="s">
        <v>24</v>
      </c>
      <c r="G48" s="108" t="s">
        <v>116</v>
      </c>
      <c r="H48" s="103" t="s">
        <v>21</v>
      </c>
      <c r="I48" s="105">
        <f t="shared" si="3"/>
        <v>10</v>
      </c>
      <c r="J48" s="103">
        <v>3</v>
      </c>
      <c r="K48" s="103">
        <v>1</v>
      </c>
      <c r="L48" s="105">
        <f t="shared" si="4"/>
        <v>3</v>
      </c>
      <c r="M48" s="107"/>
      <c r="N48" s="114"/>
    </row>
    <row r="49" ht="74.55" spans="1:14">
      <c r="A49" s="100">
        <v>47</v>
      </c>
      <c r="B49" s="115" t="s">
        <v>15</v>
      </c>
      <c r="C49" s="116" t="s">
        <v>16</v>
      </c>
      <c r="D49" s="108" t="s">
        <v>117</v>
      </c>
      <c r="E49" s="103" t="s">
        <v>23</v>
      </c>
      <c r="F49" s="104" t="s">
        <v>24</v>
      </c>
      <c r="G49" s="108" t="s">
        <v>118</v>
      </c>
      <c r="H49" s="103" t="s">
        <v>21</v>
      </c>
      <c r="I49" s="105">
        <f t="shared" si="3"/>
        <v>10</v>
      </c>
      <c r="J49" s="103">
        <v>2</v>
      </c>
      <c r="K49" s="103">
        <v>1</v>
      </c>
      <c r="L49" s="105">
        <f t="shared" si="4"/>
        <v>2</v>
      </c>
      <c r="M49" s="107"/>
      <c r="N49" s="114"/>
    </row>
    <row r="50" ht="99.45" spans="1:14">
      <c r="A50" s="100">
        <v>48</v>
      </c>
      <c r="B50" s="115" t="s">
        <v>15</v>
      </c>
      <c r="C50" s="116" t="s">
        <v>16</v>
      </c>
      <c r="D50" s="108" t="s">
        <v>119</v>
      </c>
      <c r="E50" s="103" t="s">
        <v>18</v>
      </c>
      <c r="F50" s="104" t="s">
        <v>19</v>
      </c>
      <c r="G50" s="108" t="s">
        <v>120</v>
      </c>
      <c r="H50" s="103" t="s">
        <v>21</v>
      </c>
      <c r="I50" s="105">
        <f t="shared" si="3"/>
        <v>4</v>
      </c>
      <c r="J50" s="103">
        <v>2</v>
      </c>
      <c r="K50" s="103">
        <v>1</v>
      </c>
      <c r="L50" s="105">
        <f t="shared" si="4"/>
        <v>2</v>
      </c>
      <c r="M50" s="107"/>
      <c r="N50" s="114"/>
    </row>
    <row r="51" ht="87" spans="1:14">
      <c r="A51" s="100">
        <v>49</v>
      </c>
      <c r="B51" s="115" t="s">
        <v>15</v>
      </c>
      <c r="C51" s="116" t="s">
        <v>16</v>
      </c>
      <c r="D51" s="108" t="s">
        <v>121</v>
      </c>
      <c r="E51" s="103" t="s">
        <v>18</v>
      </c>
      <c r="F51" s="104" t="s">
        <v>19</v>
      </c>
      <c r="G51" s="108" t="s">
        <v>122</v>
      </c>
      <c r="H51" s="103" t="s">
        <v>21</v>
      </c>
      <c r="I51" s="105">
        <f t="shared" si="3"/>
        <v>4</v>
      </c>
      <c r="J51" s="103">
        <v>2</v>
      </c>
      <c r="K51" s="103">
        <v>1</v>
      </c>
      <c r="L51" s="105">
        <f t="shared" si="4"/>
        <v>2</v>
      </c>
      <c r="M51" s="107"/>
      <c r="N51" s="114"/>
    </row>
    <row r="52" ht="74.55" spans="1:14">
      <c r="A52" s="100">
        <v>50</v>
      </c>
      <c r="B52" s="115" t="s">
        <v>15</v>
      </c>
      <c r="C52" s="116" t="s">
        <v>16</v>
      </c>
      <c r="D52" s="108" t="s">
        <v>123</v>
      </c>
      <c r="E52" s="103" t="s">
        <v>18</v>
      </c>
      <c r="F52" s="104" t="s">
        <v>19</v>
      </c>
      <c r="G52" s="108" t="s">
        <v>124</v>
      </c>
      <c r="H52" s="103" t="s">
        <v>21</v>
      </c>
      <c r="I52" s="105">
        <f t="shared" si="3"/>
        <v>4</v>
      </c>
      <c r="J52" s="103">
        <v>2</v>
      </c>
      <c r="K52" s="103">
        <v>1</v>
      </c>
      <c r="L52" s="105">
        <f t="shared" si="4"/>
        <v>2</v>
      </c>
      <c r="M52" s="107"/>
      <c r="N52" s="114"/>
    </row>
    <row r="53" ht="62.15" spans="1:14">
      <c r="A53" s="100">
        <v>51</v>
      </c>
      <c r="B53" s="115" t="s">
        <v>15</v>
      </c>
      <c r="C53" s="116" t="s">
        <v>16</v>
      </c>
      <c r="D53" s="108" t="s">
        <v>125</v>
      </c>
      <c r="E53" s="103" t="s">
        <v>23</v>
      </c>
      <c r="F53" s="104" t="s">
        <v>24</v>
      </c>
      <c r="G53" s="108" t="s">
        <v>126</v>
      </c>
      <c r="H53" s="103" t="s">
        <v>21</v>
      </c>
      <c r="I53" s="105">
        <f t="shared" ref="I53:I64" si="5">IF(E53="EI",4,IF(E53="EO",5,IF(E53="EQ",4,IF(E53="ILF",10,IF(E53="EIF",7,0)))))*IF(H53="修改",0.6,1)</f>
        <v>10</v>
      </c>
      <c r="J53" s="103">
        <v>1</v>
      </c>
      <c r="K53" s="103">
        <v>1</v>
      </c>
      <c r="L53" s="105">
        <f t="shared" ref="L53:L65" si="6">J53*K53</f>
        <v>1</v>
      </c>
      <c r="M53" s="107"/>
      <c r="N53" s="114"/>
    </row>
    <row r="54" ht="74.55" spans="1:14">
      <c r="A54" s="100">
        <v>52</v>
      </c>
      <c r="B54" s="115" t="s">
        <v>15</v>
      </c>
      <c r="C54" s="116" t="s">
        <v>16</v>
      </c>
      <c r="D54" s="108" t="s">
        <v>127</v>
      </c>
      <c r="E54" s="103" t="s">
        <v>18</v>
      </c>
      <c r="F54" s="104" t="s">
        <v>19</v>
      </c>
      <c r="G54" s="108" t="s">
        <v>128</v>
      </c>
      <c r="H54" s="103" t="s">
        <v>21</v>
      </c>
      <c r="I54" s="105">
        <f t="shared" si="5"/>
        <v>4</v>
      </c>
      <c r="J54" s="103">
        <v>1</v>
      </c>
      <c r="K54" s="103">
        <v>1</v>
      </c>
      <c r="L54" s="105">
        <f t="shared" si="6"/>
        <v>1</v>
      </c>
      <c r="M54" s="107"/>
      <c r="N54" s="114"/>
    </row>
    <row r="55" ht="49.7" spans="1:14">
      <c r="A55" s="100">
        <v>53</v>
      </c>
      <c r="B55" s="115" t="s">
        <v>15</v>
      </c>
      <c r="C55" s="116" t="s">
        <v>16</v>
      </c>
      <c r="D55" s="108" t="s">
        <v>129</v>
      </c>
      <c r="E55" s="103" t="s">
        <v>23</v>
      </c>
      <c r="F55" s="104" t="s">
        <v>24</v>
      </c>
      <c r="G55" s="108" t="s">
        <v>130</v>
      </c>
      <c r="H55" s="103" t="s">
        <v>21</v>
      </c>
      <c r="I55" s="105">
        <f t="shared" si="5"/>
        <v>10</v>
      </c>
      <c r="J55" s="103">
        <v>1</v>
      </c>
      <c r="K55" s="103">
        <v>1</v>
      </c>
      <c r="L55" s="105">
        <f t="shared" si="6"/>
        <v>1</v>
      </c>
      <c r="M55" s="107"/>
      <c r="N55" s="114"/>
    </row>
    <row r="56" ht="62.15" spans="1:14">
      <c r="A56" s="100">
        <v>54</v>
      </c>
      <c r="B56" s="115" t="s">
        <v>15</v>
      </c>
      <c r="C56" s="116" t="s">
        <v>16</v>
      </c>
      <c r="D56" s="108" t="s">
        <v>131</v>
      </c>
      <c r="E56" s="103" t="s">
        <v>23</v>
      </c>
      <c r="F56" s="104" t="s">
        <v>24</v>
      </c>
      <c r="G56" s="108" t="s">
        <v>132</v>
      </c>
      <c r="H56" s="103" t="s">
        <v>21</v>
      </c>
      <c r="I56" s="105">
        <f t="shared" si="5"/>
        <v>10</v>
      </c>
      <c r="J56" s="103">
        <v>1</v>
      </c>
      <c r="K56" s="103">
        <v>1</v>
      </c>
      <c r="L56" s="105">
        <f t="shared" si="6"/>
        <v>1</v>
      </c>
      <c r="M56" s="107"/>
      <c r="N56" s="114"/>
    </row>
    <row r="57" ht="74.55" spans="1:14">
      <c r="A57" s="100">
        <v>55</v>
      </c>
      <c r="B57" s="115" t="s">
        <v>15</v>
      </c>
      <c r="C57" s="116" t="s">
        <v>16</v>
      </c>
      <c r="D57" s="108" t="s">
        <v>133</v>
      </c>
      <c r="E57" s="103" t="s">
        <v>23</v>
      </c>
      <c r="F57" s="104" t="s">
        <v>24</v>
      </c>
      <c r="G57" s="108" t="s">
        <v>134</v>
      </c>
      <c r="H57" s="103" t="s">
        <v>21</v>
      </c>
      <c r="I57" s="105">
        <f t="shared" si="5"/>
        <v>10</v>
      </c>
      <c r="J57" s="103">
        <v>1</v>
      </c>
      <c r="K57" s="103">
        <v>1</v>
      </c>
      <c r="L57" s="105">
        <f t="shared" si="6"/>
        <v>1</v>
      </c>
      <c r="M57" s="107"/>
      <c r="N57" s="114"/>
    </row>
    <row r="58" ht="62.15" spans="1:14">
      <c r="A58" s="100">
        <v>56</v>
      </c>
      <c r="B58" s="115" t="s">
        <v>15</v>
      </c>
      <c r="C58" s="116" t="s">
        <v>16</v>
      </c>
      <c r="D58" s="108" t="s">
        <v>135</v>
      </c>
      <c r="E58" s="103" t="s">
        <v>23</v>
      </c>
      <c r="F58" s="104" t="s">
        <v>24</v>
      </c>
      <c r="G58" s="108" t="s">
        <v>136</v>
      </c>
      <c r="H58" s="103" t="s">
        <v>21</v>
      </c>
      <c r="I58" s="105">
        <f t="shared" si="5"/>
        <v>10</v>
      </c>
      <c r="J58" s="103">
        <v>3</v>
      </c>
      <c r="K58" s="103">
        <v>1</v>
      </c>
      <c r="L58" s="105">
        <f t="shared" si="6"/>
        <v>3</v>
      </c>
      <c r="M58" s="107"/>
      <c r="N58" s="114"/>
    </row>
    <row r="59" ht="62.15" spans="1:14">
      <c r="A59" s="100">
        <v>57</v>
      </c>
      <c r="B59" s="115" t="s">
        <v>15</v>
      </c>
      <c r="C59" s="116" t="s">
        <v>16</v>
      </c>
      <c r="D59" s="108" t="s">
        <v>137</v>
      </c>
      <c r="E59" s="103" t="s">
        <v>18</v>
      </c>
      <c r="F59" s="104" t="s">
        <v>19</v>
      </c>
      <c r="G59" s="108" t="s">
        <v>138</v>
      </c>
      <c r="H59" s="103" t="s">
        <v>21</v>
      </c>
      <c r="I59" s="105">
        <f t="shared" si="5"/>
        <v>4</v>
      </c>
      <c r="J59" s="103">
        <v>1</v>
      </c>
      <c r="K59" s="103">
        <v>1</v>
      </c>
      <c r="L59" s="105">
        <f t="shared" si="6"/>
        <v>1</v>
      </c>
      <c r="M59" s="107"/>
      <c r="N59" s="114"/>
    </row>
    <row r="60" ht="87" spans="1:14">
      <c r="A60" s="100">
        <v>58</v>
      </c>
      <c r="B60" s="115" t="s">
        <v>15</v>
      </c>
      <c r="C60" s="116" t="s">
        <v>16</v>
      </c>
      <c r="D60" s="108" t="s">
        <v>139</v>
      </c>
      <c r="E60" s="103" t="s">
        <v>18</v>
      </c>
      <c r="F60" s="104" t="s">
        <v>19</v>
      </c>
      <c r="G60" s="108" t="s">
        <v>140</v>
      </c>
      <c r="H60" s="103" t="s">
        <v>21</v>
      </c>
      <c r="I60" s="105">
        <f t="shared" si="5"/>
        <v>4</v>
      </c>
      <c r="J60" s="103">
        <v>2</v>
      </c>
      <c r="K60" s="103">
        <v>1</v>
      </c>
      <c r="L60" s="105">
        <f t="shared" si="6"/>
        <v>2</v>
      </c>
      <c r="M60" s="107"/>
      <c r="N60" s="114"/>
    </row>
    <row r="61" ht="62.15" spans="1:14">
      <c r="A61" s="100">
        <v>59</v>
      </c>
      <c r="B61" s="115" t="s">
        <v>15</v>
      </c>
      <c r="C61" s="116" t="s">
        <v>16</v>
      </c>
      <c r="D61" s="108" t="s">
        <v>141</v>
      </c>
      <c r="E61" s="103" t="s">
        <v>23</v>
      </c>
      <c r="F61" s="104" t="s">
        <v>24</v>
      </c>
      <c r="G61" s="108" t="s">
        <v>142</v>
      </c>
      <c r="H61" s="103" t="s">
        <v>21</v>
      </c>
      <c r="I61" s="105">
        <f t="shared" si="5"/>
        <v>10</v>
      </c>
      <c r="J61" s="103">
        <v>1</v>
      </c>
      <c r="K61" s="103">
        <v>1</v>
      </c>
      <c r="L61" s="105">
        <f t="shared" si="6"/>
        <v>1</v>
      </c>
      <c r="M61" s="107"/>
      <c r="N61" s="114"/>
    </row>
    <row r="62" ht="99.45" spans="1:14">
      <c r="A62" s="100">
        <v>60</v>
      </c>
      <c r="B62" s="115" t="s">
        <v>15</v>
      </c>
      <c r="C62" s="116" t="s">
        <v>16</v>
      </c>
      <c r="D62" s="108" t="s">
        <v>143</v>
      </c>
      <c r="E62" s="103" t="s">
        <v>18</v>
      </c>
      <c r="F62" s="104" t="s">
        <v>19</v>
      </c>
      <c r="G62" s="108" t="s">
        <v>144</v>
      </c>
      <c r="H62" s="103" t="s">
        <v>21</v>
      </c>
      <c r="I62" s="105">
        <f t="shared" si="5"/>
        <v>4</v>
      </c>
      <c r="J62" s="103">
        <v>2</v>
      </c>
      <c r="K62" s="103">
        <v>1</v>
      </c>
      <c r="L62" s="105">
        <f t="shared" si="6"/>
        <v>2</v>
      </c>
      <c r="M62" s="107"/>
      <c r="N62" s="114"/>
    </row>
    <row r="63" ht="62.15" spans="1:14">
      <c r="A63" s="100">
        <v>61</v>
      </c>
      <c r="B63" s="115" t="s">
        <v>15</v>
      </c>
      <c r="C63" s="116" t="s">
        <v>16</v>
      </c>
      <c r="D63" s="108" t="s">
        <v>145</v>
      </c>
      <c r="E63" s="103" t="s">
        <v>23</v>
      </c>
      <c r="F63" s="104" t="s">
        <v>24</v>
      </c>
      <c r="G63" s="108" t="s">
        <v>146</v>
      </c>
      <c r="H63" s="103" t="s">
        <v>21</v>
      </c>
      <c r="I63" s="105">
        <f t="shared" si="5"/>
        <v>10</v>
      </c>
      <c r="J63" s="103">
        <v>2</v>
      </c>
      <c r="K63" s="103">
        <v>1</v>
      </c>
      <c r="L63" s="105">
        <f t="shared" si="6"/>
        <v>2</v>
      </c>
      <c r="M63" s="107"/>
      <c r="N63" s="114"/>
    </row>
    <row r="64" ht="62.15" spans="1:14">
      <c r="A64" s="100">
        <v>62</v>
      </c>
      <c r="B64" s="115" t="s">
        <v>15</v>
      </c>
      <c r="C64" s="116" t="s">
        <v>16</v>
      </c>
      <c r="D64" s="108" t="s">
        <v>147</v>
      </c>
      <c r="E64" s="103" t="s">
        <v>23</v>
      </c>
      <c r="F64" s="104" t="s">
        <v>24</v>
      </c>
      <c r="G64" s="108" t="s">
        <v>148</v>
      </c>
      <c r="H64" s="103" t="s">
        <v>21</v>
      </c>
      <c r="I64" s="105">
        <f t="shared" si="5"/>
        <v>10</v>
      </c>
      <c r="J64" s="103">
        <v>1</v>
      </c>
      <c r="K64" s="103">
        <v>1</v>
      </c>
      <c r="L64" s="105">
        <f t="shared" si="6"/>
        <v>1</v>
      </c>
      <c r="M64" s="107"/>
      <c r="N64" s="114"/>
    </row>
    <row r="65" ht="62.15" spans="1:14">
      <c r="A65" s="100">
        <v>63</v>
      </c>
      <c r="B65" s="115" t="s">
        <v>15</v>
      </c>
      <c r="C65" s="116" t="s">
        <v>16</v>
      </c>
      <c r="D65" s="108" t="s">
        <v>149</v>
      </c>
      <c r="E65" s="103" t="s">
        <v>108</v>
      </c>
      <c r="F65" s="104" t="s">
        <v>109</v>
      </c>
      <c r="G65" s="108" t="s">
        <v>150</v>
      </c>
      <c r="H65" s="103" t="s">
        <v>21</v>
      </c>
      <c r="I65" s="105">
        <f t="shared" ref="I65:I70" si="7">IF(E65="EI",4,IF(E65="EO",5,IF(E65="EQ",4,IF(E65="ILF",10,IF(E65="EIF",7,0)))))*IF(H65="修改",0.6,1)</f>
        <v>5</v>
      </c>
      <c r="J65" s="103">
        <v>2</v>
      </c>
      <c r="K65" s="103">
        <v>1</v>
      </c>
      <c r="L65" s="105">
        <f t="shared" si="6"/>
        <v>2</v>
      </c>
      <c r="M65" s="107"/>
      <c r="N65" s="114"/>
    </row>
    <row r="66" ht="111.85" spans="1:14">
      <c r="A66" s="100">
        <v>64</v>
      </c>
      <c r="B66" s="115" t="s">
        <v>15</v>
      </c>
      <c r="C66" s="116" t="s">
        <v>16</v>
      </c>
      <c r="D66" s="108" t="s">
        <v>151</v>
      </c>
      <c r="E66" s="103" t="s">
        <v>18</v>
      </c>
      <c r="F66" s="104" t="s">
        <v>19</v>
      </c>
      <c r="G66" s="108" t="s">
        <v>152</v>
      </c>
      <c r="H66" s="103" t="s">
        <v>21</v>
      </c>
      <c r="I66" s="105">
        <f t="shared" si="7"/>
        <v>4</v>
      </c>
      <c r="J66" s="103">
        <v>2</v>
      </c>
      <c r="K66" s="103">
        <v>1</v>
      </c>
      <c r="L66" s="105">
        <f t="shared" ref="L66:L70" si="8">J66*K66</f>
        <v>2</v>
      </c>
      <c r="M66" s="107"/>
      <c r="N66" s="114"/>
    </row>
    <row r="67" ht="62.15" spans="1:14">
      <c r="A67" s="100">
        <v>65</v>
      </c>
      <c r="B67" s="115" t="s">
        <v>15</v>
      </c>
      <c r="C67" s="116" t="s">
        <v>16</v>
      </c>
      <c r="D67" s="108" t="s">
        <v>153</v>
      </c>
      <c r="E67" s="103" t="s">
        <v>23</v>
      </c>
      <c r="F67" s="104" t="s">
        <v>24</v>
      </c>
      <c r="G67" s="108" t="s">
        <v>154</v>
      </c>
      <c r="H67" s="103" t="s">
        <v>21</v>
      </c>
      <c r="I67" s="105">
        <f t="shared" si="7"/>
        <v>10</v>
      </c>
      <c r="J67" s="103">
        <v>2</v>
      </c>
      <c r="K67" s="103">
        <v>1</v>
      </c>
      <c r="L67" s="105">
        <f t="shared" si="8"/>
        <v>2</v>
      </c>
      <c r="M67" s="107"/>
      <c r="N67" s="114"/>
    </row>
    <row r="68" ht="99.45" spans="1:14">
      <c r="A68" s="100">
        <v>66</v>
      </c>
      <c r="B68" s="115" t="s">
        <v>15</v>
      </c>
      <c r="C68" s="116" t="s">
        <v>16</v>
      </c>
      <c r="D68" s="108" t="s">
        <v>155</v>
      </c>
      <c r="E68" s="103" t="s">
        <v>18</v>
      </c>
      <c r="F68" s="104" t="s">
        <v>19</v>
      </c>
      <c r="G68" s="108" t="s">
        <v>156</v>
      </c>
      <c r="H68" s="103" t="s">
        <v>21</v>
      </c>
      <c r="I68" s="105">
        <f t="shared" si="7"/>
        <v>4</v>
      </c>
      <c r="J68" s="103">
        <v>2</v>
      </c>
      <c r="K68" s="103">
        <v>1</v>
      </c>
      <c r="L68" s="105">
        <f t="shared" si="8"/>
        <v>2</v>
      </c>
      <c r="M68" s="107"/>
      <c r="N68" s="114"/>
    </row>
    <row r="69" ht="136.7" spans="1:14">
      <c r="A69" s="100">
        <v>67</v>
      </c>
      <c r="B69" s="115" t="s">
        <v>15</v>
      </c>
      <c r="C69" s="116" t="s">
        <v>16</v>
      </c>
      <c r="D69" s="108" t="s">
        <v>157</v>
      </c>
      <c r="E69" s="103" t="s">
        <v>18</v>
      </c>
      <c r="F69" s="104" t="s">
        <v>19</v>
      </c>
      <c r="G69" s="108" t="s">
        <v>158</v>
      </c>
      <c r="H69" s="103" t="s">
        <v>21</v>
      </c>
      <c r="I69" s="105">
        <f t="shared" si="7"/>
        <v>4</v>
      </c>
      <c r="J69" s="103">
        <v>4</v>
      </c>
      <c r="K69" s="103">
        <v>1</v>
      </c>
      <c r="L69" s="105">
        <f t="shared" si="8"/>
        <v>4</v>
      </c>
      <c r="M69" s="107"/>
      <c r="N69" s="114"/>
    </row>
    <row r="70" ht="49.7" spans="1:14">
      <c r="A70" s="100">
        <v>68</v>
      </c>
      <c r="B70" s="115" t="s">
        <v>15</v>
      </c>
      <c r="C70" s="116" t="s">
        <v>16</v>
      </c>
      <c r="D70" s="108" t="s">
        <v>159</v>
      </c>
      <c r="E70" s="103" t="s">
        <v>23</v>
      </c>
      <c r="F70" s="104" t="s">
        <v>24</v>
      </c>
      <c r="G70" s="108" t="s">
        <v>160</v>
      </c>
      <c r="H70" s="103" t="s">
        <v>21</v>
      </c>
      <c r="I70" s="105">
        <f t="shared" si="7"/>
        <v>10</v>
      </c>
      <c r="J70" s="103">
        <v>2</v>
      </c>
      <c r="K70" s="103">
        <v>1</v>
      </c>
      <c r="L70" s="105">
        <f t="shared" si="8"/>
        <v>2</v>
      </c>
      <c r="M70" s="107"/>
      <c r="N70" s="114"/>
    </row>
    <row r="71" ht="124.3" spans="1:14">
      <c r="A71" s="100">
        <v>69</v>
      </c>
      <c r="B71" s="115" t="s">
        <v>15</v>
      </c>
      <c r="C71" s="116" t="s">
        <v>16</v>
      </c>
      <c r="D71" s="108" t="s">
        <v>161</v>
      </c>
      <c r="E71" s="103" t="s">
        <v>23</v>
      </c>
      <c r="F71" s="104" t="s">
        <v>24</v>
      </c>
      <c r="G71" s="108" t="s">
        <v>162</v>
      </c>
      <c r="H71" s="103" t="s">
        <v>21</v>
      </c>
      <c r="I71" s="105">
        <f t="shared" ref="I71:I104" si="9">IF(E71="EI",4,IF(E71="EO",5,IF(E71="EQ",4,IF(E71="ILF",10,IF(E71="EIF",7,0)))))*IF(H71="修改",0.6,1)</f>
        <v>10</v>
      </c>
      <c r="J71" s="103">
        <v>3</v>
      </c>
      <c r="K71" s="103">
        <v>1</v>
      </c>
      <c r="L71" s="105">
        <f t="shared" ref="L71:L104" si="10">J71*K71</f>
        <v>3</v>
      </c>
      <c r="M71" s="107"/>
      <c r="N71" s="114"/>
    </row>
    <row r="72" ht="87" spans="1:14">
      <c r="A72" s="100">
        <v>70</v>
      </c>
      <c r="B72" s="115" t="s">
        <v>15</v>
      </c>
      <c r="C72" s="116" t="s">
        <v>16</v>
      </c>
      <c r="D72" s="108" t="s">
        <v>163</v>
      </c>
      <c r="E72" s="110" t="s">
        <v>108</v>
      </c>
      <c r="F72" s="111" t="s">
        <v>109</v>
      </c>
      <c r="G72" s="108" t="s">
        <v>164</v>
      </c>
      <c r="H72" s="110" t="s">
        <v>21</v>
      </c>
      <c r="I72" s="112">
        <f t="shared" si="9"/>
        <v>5</v>
      </c>
      <c r="J72" s="110">
        <v>3</v>
      </c>
      <c r="K72" s="110">
        <v>1</v>
      </c>
      <c r="L72" s="112">
        <f t="shared" si="10"/>
        <v>3</v>
      </c>
      <c r="M72" s="107"/>
      <c r="N72" s="117"/>
    </row>
    <row r="73" ht="111.85" spans="1:14">
      <c r="A73" s="100">
        <v>71</v>
      </c>
      <c r="B73" s="100" t="s">
        <v>15</v>
      </c>
      <c r="C73" s="101" t="s">
        <v>16</v>
      </c>
      <c r="D73" s="108" t="s">
        <v>165</v>
      </c>
      <c r="E73" s="103" t="s">
        <v>18</v>
      </c>
      <c r="F73" s="104" t="s">
        <v>19</v>
      </c>
      <c r="G73" s="108" t="s">
        <v>166</v>
      </c>
      <c r="H73" s="103" t="s">
        <v>21</v>
      </c>
      <c r="I73" s="105">
        <f t="shared" si="9"/>
        <v>4</v>
      </c>
      <c r="J73" s="103">
        <v>4</v>
      </c>
      <c r="K73" s="103">
        <v>1</v>
      </c>
      <c r="L73" s="105">
        <f t="shared" si="10"/>
        <v>4</v>
      </c>
      <c r="M73" s="107"/>
      <c r="N73" s="114"/>
    </row>
    <row r="74" ht="49.7" spans="1:14">
      <c r="A74" s="100">
        <v>72</v>
      </c>
      <c r="B74" s="100" t="s">
        <v>15</v>
      </c>
      <c r="C74" s="101" t="s">
        <v>16</v>
      </c>
      <c r="D74" s="108" t="s">
        <v>167</v>
      </c>
      <c r="E74" s="103" t="s">
        <v>23</v>
      </c>
      <c r="F74" s="104" t="s">
        <v>24</v>
      </c>
      <c r="G74" s="108" t="s">
        <v>168</v>
      </c>
      <c r="H74" s="103" t="s">
        <v>21</v>
      </c>
      <c r="I74" s="105">
        <f t="shared" si="9"/>
        <v>10</v>
      </c>
      <c r="J74" s="103">
        <v>2</v>
      </c>
      <c r="K74" s="103">
        <v>1</v>
      </c>
      <c r="L74" s="105">
        <f t="shared" si="10"/>
        <v>2</v>
      </c>
      <c r="M74" s="107"/>
      <c r="N74" s="114"/>
    </row>
    <row r="75" ht="99.45" spans="1:14">
      <c r="A75" s="100">
        <v>73</v>
      </c>
      <c r="B75" s="100" t="s">
        <v>15</v>
      </c>
      <c r="C75" s="101" t="s">
        <v>16</v>
      </c>
      <c r="D75" s="108" t="s">
        <v>169</v>
      </c>
      <c r="E75" s="103" t="s">
        <v>23</v>
      </c>
      <c r="F75" s="104" t="s">
        <v>24</v>
      </c>
      <c r="G75" s="108" t="s">
        <v>170</v>
      </c>
      <c r="H75" s="103" t="s">
        <v>21</v>
      </c>
      <c r="I75" s="105">
        <f t="shared" si="9"/>
        <v>10</v>
      </c>
      <c r="J75" s="103">
        <v>2</v>
      </c>
      <c r="K75" s="103">
        <v>1</v>
      </c>
      <c r="L75" s="105">
        <f t="shared" si="10"/>
        <v>2</v>
      </c>
      <c r="M75" s="107"/>
      <c r="N75" s="114"/>
    </row>
    <row r="76" ht="62.15" spans="1:14">
      <c r="A76" s="100">
        <v>74</v>
      </c>
      <c r="B76" s="100" t="s">
        <v>15</v>
      </c>
      <c r="C76" s="101" t="s">
        <v>16</v>
      </c>
      <c r="D76" s="108" t="s">
        <v>171</v>
      </c>
      <c r="E76" s="103" t="s">
        <v>108</v>
      </c>
      <c r="F76" s="104" t="s">
        <v>109</v>
      </c>
      <c r="G76" s="108" t="s">
        <v>172</v>
      </c>
      <c r="H76" s="103" t="s">
        <v>21</v>
      </c>
      <c r="I76" s="105">
        <f t="shared" si="9"/>
        <v>5</v>
      </c>
      <c r="J76" s="103">
        <v>3</v>
      </c>
      <c r="K76" s="103">
        <v>1</v>
      </c>
      <c r="L76" s="105">
        <f t="shared" si="10"/>
        <v>3</v>
      </c>
      <c r="M76" s="107"/>
      <c r="N76" s="114"/>
    </row>
    <row r="77" ht="99.45" spans="1:14">
      <c r="A77" s="100">
        <v>75</v>
      </c>
      <c r="B77" s="100" t="s">
        <v>15</v>
      </c>
      <c r="C77" s="101" t="s">
        <v>173</v>
      </c>
      <c r="D77" s="108" t="s">
        <v>174</v>
      </c>
      <c r="E77" s="103" t="s">
        <v>18</v>
      </c>
      <c r="F77" s="104" t="s">
        <v>19</v>
      </c>
      <c r="G77" s="108" t="s">
        <v>175</v>
      </c>
      <c r="H77" s="103" t="s">
        <v>21</v>
      </c>
      <c r="I77" s="105">
        <f t="shared" si="9"/>
        <v>4</v>
      </c>
      <c r="J77" s="103">
        <v>4</v>
      </c>
      <c r="K77" s="103">
        <v>1</v>
      </c>
      <c r="L77" s="105">
        <f t="shared" si="10"/>
        <v>4</v>
      </c>
      <c r="M77" s="107"/>
      <c r="N77" s="114"/>
    </row>
    <row r="78" ht="74.55" spans="1:14">
      <c r="A78" s="100">
        <v>76</v>
      </c>
      <c r="B78" s="100" t="s">
        <v>15</v>
      </c>
      <c r="C78" s="101" t="s">
        <v>173</v>
      </c>
      <c r="D78" s="108" t="s">
        <v>176</v>
      </c>
      <c r="E78" s="103" t="s">
        <v>18</v>
      </c>
      <c r="F78" s="104" t="s">
        <v>19</v>
      </c>
      <c r="G78" s="108" t="s">
        <v>177</v>
      </c>
      <c r="H78" s="103" t="s">
        <v>21</v>
      </c>
      <c r="I78" s="105">
        <f t="shared" si="9"/>
        <v>4</v>
      </c>
      <c r="J78" s="103">
        <v>3</v>
      </c>
      <c r="K78" s="103">
        <v>1</v>
      </c>
      <c r="L78" s="105">
        <f t="shared" si="10"/>
        <v>3</v>
      </c>
      <c r="M78" s="107"/>
      <c r="N78" s="114"/>
    </row>
    <row r="79" ht="87" spans="1:14">
      <c r="A79" s="100">
        <v>77</v>
      </c>
      <c r="B79" s="100" t="s">
        <v>15</v>
      </c>
      <c r="C79" s="101" t="s">
        <v>173</v>
      </c>
      <c r="D79" s="108" t="s">
        <v>178</v>
      </c>
      <c r="E79" s="103" t="s">
        <v>18</v>
      </c>
      <c r="F79" s="104" t="s">
        <v>19</v>
      </c>
      <c r="G79" s="108" t="s">
        <v>179</v>
      </c>
      <c r="H79" s="103" t="s">
        <v>21</v>
      </c>
      <c r="I79" s="105">
        <f t="shared" si="9"/>
        <v>4</v>
      </c>
      <c r="J79" s="103">
        <v>3</v>
      </c>
      <c r="K79" s="103">
        <v>1</v>
      </c>
      <c r="L79" s="105">
        <f t="shared" si="10"/>
        <v>3</v>
      </c>
      <c r="M79" s="107"/>
      <c r="N79" s="114"/>
    </row>
    <row r="80" ht="136.7" spans="1:14">
      <c r="A80" s="100">
        <v>78</v>
      </c>
      <c r="B80" s="100" t="s">
        <v>15</v>
      </c>
      <c r="C80" s="101" t="s">
        <v>173</v>
      </c>
      <c r="D80" s="108" t="s">
        <v>180</v>
      </c>
      <c r="E80" s="103" t="s">
        <v>18</v>
      </c>
      <c r="F80" s="104" t="s">
        <v>19</v>
      </c>
      <c r="G80" s="108" t="s">
        <v>181</v>
      </c>
      <c r="H80" s="103" t="s">
        <v>21</v>
      </c>
      <c r="I80" s="105">
        <f t="shared" si="9"/>
        <v>4</v>
      </c>
      <c r="J80" s="103">
        <v>3</v>
      </c>
      <c r="K80" s="103">
        <v>1</v>
      </c>
      <c r="L80" s="105">
        <f t="shared" si="10"/>
        <v>3</v>
      </c>
      <c r="M80" s="107"/>
      <c r="N80" s="114"/>
    </row>
    <row r="81" ht="136.7" spans="1:14">
      <c r="A81" s="100">
        <v>79</v>
      </c>
      <c r="B81" s="100" t="s">
        <v>15</v>
      </c>
      <c r="C81" s="101" t="s">
        <v>173</v>
      </c>
      <c r="D81" s="108" t="s">
        <v>182</v>
      </c>
      <c r="E81" s="103" t="s">
        <v>18</v>
      </c>
      <c r="F81" s="104" t="s">
        <v>19</v>
      </c>
      <c r="G81" s="108" t="s">
        <v>183</v>
      </c>
      <c r="H81" s="103" t="s">
        <v>21</v>
      </c>
      <c r="I81" s="105">
        <f t="shared" si="9"/>
        <v>4</v>
      </c>
      <c r="J81" s="103">
        <v>4</v>
      </c>
      <c r="K81" s="103">
        <v>1</v>
      </c>
      <c r="L81" s="105">
        <f t="shared" si="10"/>
        <v>4</v>
      </c>
      <c r="M81" s="107"/>
      <c r="N81" s="114"/>
    </row>
    <row r="82" ht="87" spans="1:14">
      <c r="A82" s="100">
        <v>80</v>
      </c>
      <c r="B82" s="100" t="s">
        <v>15</v>
      </c>
      <c r="C82" s="101" t="s">
        <v>173</v>
      </c>
      <c r="D82" s="108" t="s">
        <v>184</v>
      </c>
      <c r="E82" s="103" t="s">
        <v>18</v>
      </c>
      <c r="F82" s="104" t="s">
        <v>19</v>
      </c>
      <c r="G82" s="108" t="s">
        <v>185</v>
      </c>
      <c r="H82" s="103" t="s">
        <v>21</v>
      </c>
      <c r="I82" s="105">
        <f t="shared" si="9"/>
        <v>4</v>
      </c>
      <c r="J82" s="103">
        <v>3</v>
      </c>
      <c r="K82" s="103">
        <v>1</v>
      </c>
      <c r="L82" s="105">
        <f t="shared" si="10"/>
        <v>3</v>
      </c>
      <c r="M82" s="107"/>
      <c r="N82" s="114"/>
    </row>
    <row r="83" ht="62.15" spans="1:14">
      <c r="A83" s="100">
        <v>81</v>
      </c>
      <c r="B83" s="100" t="s">
        <v>15</v>
      </c>
      <c r="C83" s="101" t="s">
        <v>173</v>
      </c>
      <c r="D83" s="108" t="s">
        <v>186</v>
      </c>
      <c r="E83" s="103" t="s">
        <v>18</v>
      </c>
      <c r="F83" s="104" t="s">
        <v>19</v>
      </c>
      <c r="G83" s="108" t="s">
        <v>187</v>
      </c>
      <c r="H83" s="103" t="s">
        <v>21</v>
      </c>
      <c r="I83" s="105">
        <f t="shared" si="9"/>
        <v>4</v>
      </c>
      <c r="J83" s="103">
        <v>1</v>
      </c>
      <c r="K83" s="103">
        <v>1</v>
      </c>
      <c r="L83" s="105">
        <f t="shared" si="10"/>
        <v>1</v>
      </c>
      <c r="M83" s="107"/>
      <c r="N83" s="114"/>
    </row>
    <row r="84" ht="62.15" spans="1:14">
      <c r="A84" s="100">
        <v>82</v>
      </c>
      <c r="B84" s="100" t="s">
        <v>15</v>
      </c>
      <c r="C84" s="101" t="s">
        <v>173</v>
      </c>
      <c r="D84" s="108" t="s">
        <v>188</v>
      </c>
      <c r="E84" s="103" t="s">
        <v>18</v>
      </c>
      <c r="F84" s="104" t="s">
        <v>19</v>
      </c>
      <c r="G84" s="108" t="s">
        <v>189</v>
      </c>
      <c r="H84" s="103" t="s">
        <v>21</v>
      </c>
      <c r="I84" s="105">
        <f t="shared" si="9"/>
        <v>4</v>
      </c>
      <c r="J84" s="103">
        <v>1</v>
      </c>
      <c r="K84" s="103">
        <v>1</v>
      </c>
      <c r="L84" s="105">
        <f t="shared" si="10"/>
        <v>1</v>
      </c>
      <c r="M84" s="107"/>
      <c r="N84" s="114"/>
    </row>
    <row r="85" ht="62.15" spans="1:14">
      <c r="A85" s="100">
        <v>83</v>
      </c>
      <c r="B85" s="100" t="s">
        <v>15</v>
      </c>
      <c r="C85" s="101" t="s">
        <v>173</v>
      </c>
      <c r="D85" s="108" t="s">
        <v>190</v>
      </c>
      <c r="E85" s="103" t="s">
        <v>18</v>
      </c>
      <c r="F85" s="104" t="s">
        <v>19</v>
      </c>
      <c r="G85" s="108" t="s">
        <v>191</v>
      </c>
      <c r="H85" s="103" t="s">
        <v>21</v>
      </c>
      <c r="I85" s="105">
        <f t="shared" si="9"/>
        <v>4</v>
      </c>
      <c r="J85" s="103">
        <v>1</v>
      </c>
      <c r="K85" s="103">
        <v>1</v>
      </c>
      <c r="L85" s="105">
        <f t="shared" si="10"/>
        <v>1</v>
      </c>
      <c r="M85" s="107"/>
      <c r="N85" s="114"/>
    </row>
    <row r="86" ht="74.55" spans="1:14">
      <c r="A86" s="100">
        <v>84</v>
      </c>
      <c r="B86" s="100" t="s">
        <v>15</v>
      </c>
      <c r="C86" s="101" t="s">
        <v>173</v>
      </c>
      <c r="D86" s="108" t="s">
        <v>192</v>
      </c>
      <c r="E86" s="103" t="s">
        <v>18</v>
      </c>
      <c r="F86" s="104" t="s">
        <v>19</v>
      </c>
      <c r="G86" s="108" t="s">
        <v>193</v>
      </c>
      <c r="H86" s="103" t="s">
        <v>21</v>
      </c>
      <c r="I86" s="105">
        <f t="shared" si="9"/>
        <v>4</v>
      </c>
      <c r="J86" s="103">
        <v>1</v>
      </c>
      <c r="K86" s="103">
        <v>1</v>
      </c>
      <c r="L86" s="105">
        <f t="shared" si="10"/>
        <v>1</v>
      </c>
      <c r="M86" s="107"/>
      <c r="N86" s="114"/>
    </row>
    <row r="87" ht="62.15" spans="1:14">
      <c r="A87" s="100">
        <v>85</v>
      </c>
      <c r="B87" s="100" t="s">
        <v>15</v>
      </c>
      <c r="C87" s="101" t="s">
        <v>173</v>
      </c>
      <c r="D87" s="108" t="s">
        <v>194</v>
      </c>
      <c r="E87" s="103" t="s">
        <v>23</v>
      </c>
      <c r="F87" s="104" t="s">
        <v>24</v>
      </c>
      <c r="G87" s="108" t="s">
        <v>195</v>
      </c>
      <c r="H87" s="103" t="s">
        <v>21</v>
      </c>
      <c r="I87" s="105">
        <f t="shared" si="9"/>
        <v>10</v>
      </c>
      <c r="J87" s="103">
        <v>2</v>
      </c>
      <c r="K87" s="103">
        <v>1</v>
      </c>
      <c r="L87" s="105">
        <f t="shared" si="10"/>
        <v>2</v>
      </c>
      <c r="M87" s="107"/>
      <c r="N87" s="114"/>
    </row>
  </sheetData>
  <dataValidations count="4">
    <dataValidation type="list" allowBlank="1" showInputMessage="1" showErrorMessage="1" sqref="E3:E87">
      <formula1>"EI,EO,EQ,ILF,EIF"</formula1>
    </dataValidation>
    <dataValidation type="list" allowBlank="1" showInputMessage="1" sqref="F3:F19">
      <formula1>'附录1-FPA评估方法说明'!$C$2:$C$14</formula1>
    </dataValidation>
    <dataValidation type="list" allowBlank="1" showInputMessage="1" showErrorMessage="1" sqref="F20:F87">
      <formula1>'附录1-FPA评估方法说明'!$C$2:$C$14</formula1>
    </dataValidation>
    <dataValidation type="list" allowBlank="1" showInputMessage="1" showErrorMessage="1" sqref="H3:H87">
      <formula1>"新增,修改"</formula1>
    </dataValidation>
  </dataValidation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3"/>
  <sheetViews>
    <sheetView zoomScaleSheetLayoutView="60" topLeftCell="B1" workbookViewId="0">
      <selection activeCell="C34" sqref="C34"/>
    </sheetView>
  </sheetViews>
  <sheetFormatPr defaultColWidth="9.75675675675676" defaultRowHeight="12.4" outlineLevelCol="2"/>
  <cols>
    <col min="1" max="1" width="120.621621621622" style="78" customWidth="1"/>
    <col min="2" max="16384" width="9.75675675675676" style="78"/>
  </cols>
  <sheetData>
    <row r="1" spans="1:3">
      <c r="A1" s="79" t="s">
        <v>196</v>
      </c>
      <c r="C1" s="78" t="s">
        <v>197</v>
      </c>
    </row>
    <row r="2" spans="1:3">
      <c r="A2" s="80" t="s">
        <v>198</v>
      </c>
      <c r="C2" s="78" t="s">
        <v>19</v>
      </c>
    </row>
    <row r="3" spans="1:3">
      <c r="A3" s="80" t="s">
        <v>199</v>
      </c>
      <c r="C3" s="78" t="s">
        <v>200</v>
      </c>
    </row>
    <row r="4" spans="1:3">
      <c r="A4" s="80" t="s">
        <v>201</v>
      </c>
      <c r="C4" s="78" t="s">
        <v>202</v>
      </c>
    </row>
    <row r="5" spans="1:3">
      <c r="A5" s="80" t="s">
        <v>203</v>
      </c>
      <c r="C5" s="78" t="s">
        <v>204</v>
      </c>
    </row>
    <row r="6" spans="1:3">
      <c r="A6" s="80"/>
      <c r="C6" s="78" t="s">
        <v>109</v>
      </c>
    </row>
    <row r="7" ht="12.85" spans="1:3">
      <c r="A7" s="81" t="s">
        <v>205</v>
      </c>
      <c r="C7" s="78" t="s">
        <v>206</v>
      </c>
    </row>
    <row r="8" ht="12.45" spans="1:3">
      <c r="A8" s="81" t="s">
        <v>207</v>
      </c>
      <c r="C8" s="78" t="s">
        <v>208</v>
      </c>
    </row>
    <row r="9" ht="12.85" spans="1:3">
      <c r="A9" s="82" t="s">
        <v>209</v>
      </c>
      <c r="C9" s="78" t="s">
        <v>210</v>
      </c>
    </row>
    <row r="10" ht="12.85" spans="1:3">
      <c r="A10" s="82" t="s">
        <v>211</v>
      </c>
      <c r="C10" s="78" t="s">
        <v>212</v>
      </c>
    </row>
    <row r="11" ht="12.45" spans="1:3">
      <c r="A11" s="81" t="s">
        <v>213</v>
      </c>
      <c r="C11" s="78" t="s">
        <v>214</v>
      </c>
    </row>
    <row r="12" ht="12.85" spans="1:3">
      <c r="A12" s="81" t="s">
        <v>215</v>
      </c>
      <c r="C12" s="78" t="s">
        <v>216</v>
      </c>
    </row>
    <row r="13" ht="12.85" spans="1:3">
      <c r="A13" s="81" t="s">
        <v>217</v>
      </c>
      <c r="C13" s="78" t="s">
        <v>24</v>
      </c>
    </row>
    <row r="14" ht="12.85" spans="1:3">
      <c r="A14" s="83" t="s">
        <v>218</v>
      </c>
      <c r="C14" s="78" t="s">
        <v>219</v>
      </c>
    </row>
    <row r="15" ht="12.85" spans="1:3">
      <c r="A15" s="83" t="s">
        <v>220</v>
      </c>
    </row>
    <row r="16" spans="1:3">
      <c r="A16" s="83"/>
    </row>
    <row r="17" ht="12.45" spans="1:1">
      <c r="A17" s="81" t="s">
        <v>221</v>
      </c>
    </row>
    <row r="18" ht="12.85" spans="1:1">
      <c r="A18" s="82" t="s">
        <v>222</v>
      </c>
    </row>
    <row r="19" ht="12.85" spans="1:1">
      <c r="A19" s="82" t="s">
        <v>223</v>
      </c>
    </row>
    <row r="20" ht="12.45" spans="1:1">
      <c r="A20" s="82" t="s">
        <v>224</v>
      </c>
    </row>
    <row r="21" ht="12.45" spans="1:1">
      <c r="A21" s="82" t="s">
        <v>225</v>
      </c>
    </row>
    <row r="22" ht="12.45" spans="1:1">
      <c r="A22" s="82" t="s">
        <v>226</v>
      </c>
    </row>
    <row r="23" ht="12.45" spans="1:1">
      <c r="A23" s="82" t="s">
        <v>227</v>
      </c>
    </row>
    <row r="24" ht="12.45" spans="1:1">
      <c r="A24" s="81" t="s">
        <v>228</v>
      </c>
    </row>
    <row r="25" ht="12.85" spans="1:1">
      <c r="A25" s="81" t="s">
        <v>229</v>
      </c>
    </row>
    <row r="26" ht="12.85" spans="1:1">
      <c r="A26" s="83" t="s">
        <v>230</v>
      </c>
    </row>
    <row r="27" spans="1:1">
      <c r="A27" s="83"/>
    </row>
    <row r="28" ht="12.85" spans="1:1">
      <c r="A28" s="81" t="s">
        <v>231</v>
      </c>
    </row>
    <row r="29" ht="12.85" spans="1:1">
      <c r="A29" s="82" t="s">
        <v>232</v>
      </c>
    </row>
    <row r="30" ht="12.85" spans="1:1">
      <c r="A30" s="82" t="s">
        <v>233</v>
      </c>
    </row>
    <row r="31" ht="12.85" spans="1:1">
      <c r="A31" s="82" t="s">
        <v>234</v>
      </c>
    </row>
    <row r="32" ht="12.45" spans="1:1">
      <c r="A32" s="82" t="s">
        <v>224</v>
      </c>
    </row>
    <row r="33" ht="12.45" spans="1:1">
      <c r="A33" s="82" t="s">
        <v>225</v>
      </c>
    </row>
    <row r="34" ht="12.45" spans="1:1">
      <c r="A34" s="82" t="s">
        <v>226</v>
      </c>
    </row>
    <row r="35" ht="12.45" spans="1:1">
      <c r="A35" s="82" t="s">
        <v>227</v>
      </c>
    </row>
    <row r="36" ht="12.45" spans="1:1">
      <c r="A36" s="81" t="s">
        <v>235</v>
      </c>
    </row>
    <row r="37" ht="12.85" spans="1:1">
      <c r="A37" s="83" t="s">
        <v>236</v>
      </c>
    </row>
    <row r="38" ht="12.85" spans="1:1">
      <c r="A38" s="83" t="s">
        <v>237</v>
      </c>
    </row>
    <row r="39" ht="12.85" spans="1:1">
      <c r="A39" s="83" t="s">
        <v>238</v>
      </c>
    </row>
    <row r="40" ht="12.85" spans="1:1">
      <c r="A40" s="83" t="s">
        <v>239</v>
      </c>
    </row>
    <row r="41" spans="1:1">
      <c r="A41" s="84"/>
    </row>
    <row r="42" ht="12.45" spans="1:1">
      <c r="A42" s="81" t="s">
        <v>240</v>
      </c>
    </row>
    <row r="43" ht="12.45" spans="1:1">
      <c r="A43" s="81" t="s">
        <v>241</v>
      </c>
    </row>
    <row r="44" ht="12.45" spans="1:1">
      <c r="A44" s="81" t="s">
        <v>242</v>
      </c>
    </row>
    <row r="45" ht="12.85" spans="1:1">
      <c r="A45" s="83" t="s">
        <v>243</v>
      </c>
    </row>
    <row r="46" ht="12.85" spans="1:1">
      <c r="A46" s="83" t="s">
        <v>244</v>
      </c>
    </row>
    <row r="47" spans="1:1">
      <c r="A47" s="83"/>
    </row>
    <row r="48" ht="12.45" spans="1:1">
      <c r="A48" s="81" t="s">
        <v>245</v>
      </c>
    </row>
    <row r="49" ht="12.85" spans="1:1">
      <c r="A49" s="82" t="s">
        <v>246</v>
      </c>
    </row>
    <row r="50" ht="12.85" spans="1:1">
      <c r="A50" s="82" t="s">
        <v>247</v>
      </c>
    </row>
    <row r="51" ht="12.85" spans="1:1">
      <c r="A51" s="82" t="s">
        <v>248</v>
      </c>
    </row>
    <row r="52" ht="12.45" spans="1:1">
      <c r="A52" s="81" t="s">
        <v>249</v>
      </c>
    </row>
    <row r="53" ht="13.2" spans="1:1">
      <c r="A53" s="85" t="s">
        <v>250</v>
      </c>
    </row>
  </sheetData>
  <pageMargins left="0.7" right="0.7" top="0.75" bottom="0.75" header="0.3" footer="0.3"/>
  <pageSetup paperSize="9" orientation="portrait" horizontalDpi="203" verticalDpi="2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6"/>
  <sheetViews>
    <sheetView topLeftCell="A5" workbookViewId="0">
      <selection activeCell="Q14" sqref="Q14"/>
    </sheetView>
  </sheetViews>
  <sheetFormatPr defaultColWidth="9" defaultRowHeight="14.1"/>
  <cols>
    <col min="5" max="6" width="9" hidden="1" customWidth="1"/>
    <col min="8" max="9" width="9" hidden="1" customWidth="1"/>
    <col min="11" max="13" width="9" hidden="1" customWidth="1"/>
    <col min="17" max="17" width="19.1081081081081" customWidth="1"/>
  </cols>
  <sheetData>
    <row r="1" ht="87" spans="1:20">
      <c r="A1" s="58" t="s">
        <v>251</v>
      </c>
      <c r="B1" s="59" t="s">
        <v>252</v>
      </c>
      <c r="C1" s="59" t="s">
        <v>5</v>
      </c>
      <c r="D1" s="60" t="s">
        <v>253</v>
      </c>
      <c r="E1" s="60" t="s">
        <v>254</v>
      </c>
      <c r="F1" s="60" t="s">
        <v>255</v>
      </c>
      <c r="G1" s="60" t="s">
        <v>256</v>
      </c>
      <c r="H1" s="60" t="s">
        <v>254</v>
      </c>
      <c r="I1" s="60" t="s">
        <v>257</v>
      </c>
      <c r="J1" s="60" t="s">
        <v>258</v>
      </c>
      <c r="K1" s="60" t="s">
        <v>254</v>
      </c>
      <c r="L1" s="60" t="s">
        <v>259</v>
      </c>
      <c r="M1" s="61" t="s">
        <v>260</v>
      </c>
      <c r="N1" s="62"/>
      <c r="O1" s="63" t="s">
        <v>251</v>
      </c>
      <c r="P1" s="63" t="s">
        <v>261</v>
      </c>
      <c r="Q1" s="63" t="s">
        <v>262</v>
      </c>
      <c r="R1" s="63" t="s">
        <v>263</v>
      </c>
      <c r="S1" s="63" t="s">
        <v>264</v>
      </c>
      <c r="T1" s="63" t="s">
        <v>265</v>
      </c>
    </row>
    <row r="2" spans="1:20">
      <c r="A2" s="64" t="s">
        <v>266</v>
      </c>
      <c r="B2" s="65" t="s">
        <v>267</v>
      </c>
      <c r="C2" s="64" t="s">
        <v>21</v>
      </c>
      <c r="D2" s="118" t="s">
        <v>268</v>
      </c>
      <c r="E2" s="66"/>
      <c r="F2" s="66" t="e">
        <f t="shared" ref="F2:F13" si="0">D2*E2</f>
        <v>#VALUE!</v>
      </c>
      <c r="G2" s="118" t="s">
        <v>269</v>
      </c>
      <c r="H2" s="66"/>
      <c r="I2" s="66">
        <f t="shared" ref="I2:I13" si="1">G2*H2</f>
        <v>0</v>
      </c>
      <c r="J2" s="118" t="s">
        <v>270</v>
      </c>
      <c r="K2" s="66"/>
      <c r="L2" s="66">
        <f>J2*K2</f>
        <v>0</v>
      </c>
      <c r="M2" s="67"/>
      <c r="N2" s="62"/>
      <c r="O2" s="68" t="s">
        <v>266</v>
      </c>
      <c r="P2" s="68" t="s">
        <v>267</v>
      </c>
      <c r="Q2" s="68" t="s">
        <v>271</v>
      </c>
      <c r="R2" s="68"/>
      <c r="S2" s="68" t="s">
        <v>272</v>
      </c>
      <c r="T2" s="68" t="s">
        <v>273</v>
      </c>
    </row>
    <row r="3" spans="1:20">
      <c r="A3" s="64"/>
      <c r="B3" s="65" t="s">
        <v>267</v>
      </c>
      <c r="C3" s="64" t="s">
        <v>80</v>
      </c>
      <c r="D3" s="118" t="s">
        <v>274</v>
      </c>
      <c r="E3" s="66"/>
      <c r="F3" s="66" t="e">
        <f t="shared" si="0"/>
        <v>#VALUE!</v>
      </c>
      <c r="G3" s="118" t="s">
        <v>275</v>
      </c>
      <c r="H3" s="66"/>
      <c r="I3" s="66">
        <f t="shared" si="1"/>
        <v>0</v>
      </c>
      <c r="J3" s="118" t="s">
        <v>276</v>
      </c>
      <c r="K3" s="66"/>
      <c r="L3" s="66">
        <f>J3*K3</f>
        <v>0</v>
      </c>
      <c r="M3" s="67"/>
      <c r="N3" s="62"/>
      <c r="O3" s="68"/>
      <c r="P3" s="68"/>
      <c r="Q3" s="68"/>
      <c r="R3" s="68"/>
      <c r="S3" s="68" t="s">
        <v>277</v>
      </c>
      <c r="T3" s="69" t="s">
        <v>278</v>
      </c>
    </row>
    <row r="4" spans="1:20">
      <c r="A4" s="64" t="s">
        <v>279</v>
      </c>
      <c r="B4" s="65" t="s">
        <v>280</v>
      </c>
      <c r="C4" s="64" t="s">
        <v>21</v>
      </c>
      <c r="D4" s="118" t="s">
        <v>268</v>
      </c>
      <c r="E4" s="66"/>
      <c r="F4" s="66" t="e">
        <f t="shared" si="0"/>
        <v>#VALUE!</v>
      </c>
      <c r="G4" s="118" t="s">
        <v>269</v>
      </c>
      <c r="H4" s="66"/>
      <c r="I4" s="66">
        <f t="shared" si="1"/>
        <v>0</v>
      </c>
      <c r="J4" s="118" t="s">
        <v>270</v>
      </c>
      <c r="K4" s="66"/>
      <c r="L4" s="66">
        <f>J4*K4</f>
        <v>0</v>
      </c>
      <c r="M4" s="70"/>
      <c r="N4" s="62"/>
      <c r="O4" s="68"/>
      <c r="P4" s="68"/>
      <c r="Q4" s="68"/>
      <c r="R4" s="68"/>
      <c r="S4" s="68" t="s">
        <v>281</v>
      </c>
      <c r="T4" s="68" t="s">
        <v>282</v>
      </c>
    </row>
    <row r="5" spans="1:20">
      <c r="A5" s="64"/>
      <c r="B5" s="65" t="s">
        <v>280</v>
      </c>
      <c r="C5" s="64" t="s">
        <v>80</v>
      </c>
      <c r="D5" s="118" t="s">
        <v>274</v>
      </c>
      <c r="E5" s="66"/>
      <c r="F5" s="66" t="e">
        <f t="shared" si="0"/>
        <v>#VALUE!</v>
      </c>
      <c r="G5" s="118" t="s">
        <v>275</v>
      </c>
      <c r="H5" s="66"/>
      <c r="I5" s="66">
        <f t="shared" si="1"/>
        <v>0</v>
      </c>
      <c r="J5" s="118" t="s">
        <v>276</v>
      </c>
      <c r="K5" s="66"/>
      <c r="L5" s="66">
        <f>J5*K5</f>
        <v>0</v>
      </c>
      <c r="M5" s="67"/>
      <c r="N5" s="62"/>
      <c r="O5" s="68"/>
      <c r="P5" s="68"/>
      <c r="Q5" s="68" t="s">
        <v>283</v>
      </c>
      <c r="R5" s="68"/>
      <c r="S5" s="68" t="s">
        <v>272</v>
      </c>
      <c r="T5" s="68" t="s">
        <v>284</v>
      </c>
    </row>
    <row r="6" spans="1:20">
      <c r="A6" s="64" t="s">
        <v>285</v>
      </c>
      <c r="B6" s="65" t="s">
        <v>280</v>
      </c>
      <c r="C6" s="64" t="s">
        <v>21</v>
      </c>
      <c r="D6" s="118" t="s">
        <v>268</v>
      </c>
      <c r="E6" s="66"/>
      <c r="F6" s="66" t="e">
        <f t="shared" si="0"/>
        <v>#VALUE!</v>
      </c>
      <c r="G6" s="118" t="s">
        <v>269</v>
      </c>
      <c r="H6" s="66"/>
      <c r="I6" s="66">
        <f t="shared" si="1"/>
        <v>0</v>
      </c>
      <c r="J6" s="118" t="s">
        <v>270</v>
      </c>
      <c r="K6" s="66"/>
      <c r="L6" s="66">
        <f t="shared" ref="L6:L11" si="2">J8*K6</f>
        <v>0</v>
      </c>
      <c r="M6" s="71"/>
      <c r="N6" s="62"/>
      <c r="O6" s="68"/>
      <c r="P6" s="68"/>
      <c r="Q6" s="68"/>
      <c r="R6" s="68"/>
      <c r="S6" s="68" t="s">
        <v>277</v>
      </c>
      <c r="T6" s="69" t="s">
        <v>286</v>
      </c>
    </row>
    <row r="7" spans="1:20">
      <c r="A7" s="64"/>
      <c r="B7" s="65" t="s">
        <v>280</v>
      </c>
      <c r="C7" s="64" t="s">
        <v>80</v>
      </c>
      <c r="D7" s="118" t="s">
        <v>274</v>
      </c>
      <c r="E7" s="66"/>
      <c r="F7" s="66" t="e">
        <f t="shared" si="0"/>
        <v>#VALUE!</v>
      </c>
      <c r="G7" s="118" t="s">
        <v>275</v>
      </c>
      <c r="H7" s="66"/>
      <c r="I7" s="66">
        <f t="shared" si="1"/>
        <v>0</v>
      </c>
      <c r="J7" s="118" t="s">
        <v>276</v>
      </c>
      <c r="K7" s="66"/>
      <c r="L7" s="66">
        <f t="shared" si="2"/>
        <v>0</v>
      </c>
      <c r="M7" s="72"/>
      <c r="N7" s="62"/>
      <c r="O7" s="68"/>
      <c r="P7" s="68"/>
      <c r="Q7" s="68"/>
      <c r="R7" s="68"/>
      <c r="S7" s="68" t="s">
        <v>281</v>
      </c>
      <c r="T7" s="68" t="s">
        <v>287</v>
      </c>
    </row>
    <row r="8" spans="1:20">
      <c r="A8" s="64" t="s">
        <v>288</v>
      </c>
      <c r="B8" s="66" t="s">
        <v>289</v>
      </c>
      <c r="C8" s="66" t="s">
        <v>290</v>
      </c>
      <c r="D8" s="118" t="s">
        <v>268</v>
      </c>
      <c r="E8" s="66"/>
      <c r="F8" s="66" t="e">
        <f t="shared" si="0"/>
        <v>#VALUE!</v>
      </c>
      <c r="G8" s="118" t="s">
        <v>269</v>
      </c>
      <c r="H8" s="66"/>
      <c r="I8" s="66">
        <f t="shared" si="1"/>
        <v>0</v>
      </c>
      <c r="J8" s="118" t="s">
        <v>270</v>
      </c>
      <c r="K8" s="66"/>
      <c r="L8" s="66">
        <f t="shared" si="2"/>
        <v>0</v>
      </c>
      <c r="M8" s="67"/>
      <c r="N8" s="62"/>
      <c r="O8" s="68" t="s">
        <v>279</v>
      </c>
      <c r="P8" s="68" t="s">
        <v>280</v>
      </c>
      <c r="Q8" s="68" t="s">
        <v>291</v>
      </c>
      <c r="R8" s="68"/>
      <c r="S8" s="68" t="s">
        <v>272</v>
      </c>
      <c r="T8" s="68" t="s">
        <v>292</v>
      </c>
    </row>
    <row r="9" spans="1:20">
      <c r="A9" s="64"/>
      <c r="B9" s="66" t="s">
        <v>289</v>
      </c>
      <c r="C9" s="66" t="s">
        <v>80</v>
      </c>
      <c r="D9" s="118" t="s">
        <v>274</v>
      </c>
      <c r="E9" s="66"/>
      <c r="F9" s="66" t="e">
        <f t="shared" si="0"/>
        <v>#VALUE!</v>
      </c>
      <c r="G9" s="118" t="s">
        <v>275</v>
      </c>
      <c r="H9" s="66"/>
      <c r="I9" s="66">
        <f t="shared" si="1"/>
        <v>0</v>
      </c>
      <c r="J9" s="118" t="s">
        <v>276</v>
      </c>
      <c r="K9" s="66"/>
      <c r="L9" s="66">
        <f t="shared" si="2"/>
        <v>0</v>
      </c>
      <c r="M9" s="67"/>
      <c r="N9" s="62"/>
      <c r="O9" s="68"/>
      <c r="P9" s="68"/>
      <c r="Q9" s="68"/>
      <c r="R9" s="68"/>
      <c r="S9" s="68" t="s">
        <v>277</v>
      </c>
      <c r="T9" s="69" t="s">
        <v>293</v>
      </c>
    </row>
    <row r="10" spans="1:20">
      <c r="A10" s="64" t="s">
        <v>294</v>
      </c>
      <c r="B10" s="66" t="s">
        <v>295</v>
      </c>
      <c r="C10" s="66" t="s">
        <v>290</v>
      </c>
      <c r="D10" s="118" t="s">
        <v>296</v>
      </c>
      <c r="E10" s="66"/>
      <c r="F10" s="66" t="e">
        <f t="shared" si="0"/>
        <v>#VALUE!</v>
      </c>
      <c r="G10" s="118" t="s">
        <v>297</v>
      </c>
      <c r="H10" s="66"/>
      <c r="I10" s="66">
        <f t="shared" si="1"/>
        <v>0</v>
      </c>
      <c r="J10" s="118" t="s">
        <v>298</v>
      </c>
      <c r="K10" s="66"/>
      <c r="L10" s="66">
        <f t="shared" si="2"/>
        <v>0</v>
      </c>
      <c r="M10" s="67"/>
      <c r="N10" s="62"/>
      <c r="O10" s="68"/>
      <c r="P10" s="68"/>
      <c r="Q10" s="68"/>
      <c r="R10" s="68"/>
      <c r="S10" s="68" t="s">
        <v>281</v>
      </c>
      <c r="T10" s="68" t="s">
        <v>299</v>
      </c>
    </row>
    <row r="11" spans="1:20">
      <c r="A11" s="64"/>
      <c r="B11" s="66" t="s">
        <v>295</v>
      </c>
      <c r="C11" s="66" t="s">
        <v>80</v>
      </c>
      <c r="D11" s="118" t="s">
        <v>300</v>
      </c>
      <c r="E11" s="66"/>
      <c r="F11" s="66" t="e">
        <f t="shared" si="0"/>
        <v>#VALUE!</v>
      </c>
      <c r="G11" s="118" t="s">
        <v>301</v>
      </c>
      <c r="H11" s="66"/>
      <c r="I11" s="66">
        <f t="shared" si="1"/>
        <v>0</v>
      </c>
      <c r="J11" s="118" t="s">
        <v>297</v>
      </c>
      <c r="K11" s="66"/>
      <c r="L11" s="66">
        <f t="shared" si="2"/>
        <v>0</v>
      </c>
      <c r="M11" s="73"/>
      <c r="N11" s="62"/>
      <c r="O11" s="68"/>
      <c r="P11" s="68"/>
      <c r="Q11" s="68" t="s">
        <v>302</v>
      </c>
      <c r="R11" s="68"/>
      <c r="S11" s="68" t="s">
        <v>272</v>
      </c>
      <c r="T11" s="68" t="s">
        <v>303</v>
      </c>
    </row>
    <row r="12" spans="1:20">
      <c r="A12" s="66" t="s">
        <v>304</v>
      </c>
      <c r="B12" s="66" t="s">
        <v>305</v>
      </c>
      <c r="C12" s="66" t="s">
        <v>290</v>
      </c>
      <c r="D12" s="118" t="s">
        <v>268</v>
      </c>
      <c r="E12" s="66"/>
      <c r="F12" s="66" t="e">
        <f t="shared" si="0"/>
        <v>#VALUE!</v>
      </c>
      <c r="G12" s="118" t="s">
        <v>269</v>
      </c>
      <c r="H12" s="66"/>
      <c r="I12" s="66">
        <f t="shared" si="1"/>
        <v>0</v>
      </c>
      <c r="J12" s="118" t="s">
        <v>270</v>
      </c>
      <c r="K12" s="66"/>
      <c r="L12" s="66" t="e">
        <f>#REF!*K12</f>
        <v>#REF!</v>
      </c>
      <c r="M12" s="67"/>
      <c r="N12" s="62"/>
      <c r="O12" s="68"/>
      <c r="P12" s="68"/>
      <c r="Q12" s="68"/>
      <c r="R12" s="68"/>
      <c r="S12" s="68" t="s">
        <v>277</v>
      </c>
      <c r="T12" s="69" t="s">
        <v>306</v>
      </c>
    </row>
    <row r="13" spans="1:20">
      <c r="A13" s="66"/>
      <c r="B13" s="66" t="s">
        <v>305</v>
      </c>
      <c r="C13" s="66" t="s">
        <v>80</v>
      </c>
      <c r="D13" s="118" t="s">
        <v>274</v>
      </c>
      <c r="E13" s="66"/>
      <c r="F13" s="66" t="e">
        <f t="shared" si="0"/>
        <v>#VALUE!</v>
      </c>
      <c r="G13" s="118" t="s">
        <v>275</v>
      </c>
      <c r="H13" s="66"/>
      <c r="I13" s="66">
        <f t="shared" si="1"/>
        <v>0</v>
      </c>
      <c r="J13" s="118" t="s">
        <v>276</v>
      </c>
      <c r="K13" s="66"/>
      <c r="L13" s="66" t="e">
        <f>#REF!*K13</f>
        <v>#REF!</v>
      </c>
      <c r="M13" s="67"/>
      <c r="N13" s="62"/>
      <c r="O13" s="68"/>
      <c r="P13" s="68"/>
      <c r="Q13" s="68"/>
      <c r="R13" s="68"/>
      <c r="S13" s="68" t="s">
        <v>281</v>
      </c>
      <c r="T13" s="68" t="s">
        <v>299</v>
      </c>
    </row>
    <row r="14" spans="1:20">
      <c r="A14" s="74" t="s">
        <v>307</v>
      </c>
      <c r="B14" s="74"/>
      <c r="C14" s="74"/>
      <c r="D14" s="74"/>
      <c r="E14" s="74"/>
      <c r="F14" s="74"/>
      <c r="G14" s="74"/>
      <c r="H14" s="74"/>
      <c r="I14" s="74"/>
      <c r="J14" s="74"/>
      <c r="K14" s="75"/>
      <c r="L14" s="76" t="e">
        <f>SUM(L2:L13)</f>
        <v>#REF!</v>
      </c>
      <c r="M14" s="77"/>
      <c r="N14" s="62"/>
      <c r="O14" s="68"/>
      <c r="P14" s="68"/>
      <c r="Q14" s="68" t="s">
        <v>308</v>
      </c>
      <c r="R14" s="68"/>
      <c r="S14" s="68" t="s">
        <v>272</v>
      </c>
      <c r="T14" s="68" t="s">
        <v>309</v>
      </c>
    </row>
    <row r="15" spans="1:20">
      <c r="A15" s="62"/>
      <c r="B15" s="62"/>
      <c r="C15" s="62"/>
      <c r="D15" s="62"/>
      <c r="E15" s="62"/>
      <c r="F15" s="62"/>
      <c r="G15" s="62"/>
      <c r="H15" s="62"/>
      <c r="I15" s="62"/>
      <c r="J15" s="62"/>
      <c r="K15" s="74"/>
      <c r="L15" s="74">
        <v>32</v>
      </c>
      <c r="M15" s="66"/>
      <c r="N15" s="62"/>
      <c r="O15" s="68"/>
      <c r="P15" s="68"/>
      <c r="Q15" s="68"/>
      <c r="R15" s="68"/>
      <c r="S15" s="68" t="s">
        <v>277</v>
      </c>
      <c r="T15" s="69" t="s">
        <v>310</v>
      </c>
    </row>
    <row r="16" spans="1:20">
      <c r="A16" s="62"/>
      <c r="B16" s="62"/>
      <c r="C16" s="62"/>
      <c r="D16" s="62"/>
      <c r="E16" s="62"/>
      <c r="F16" s="62"/>
      <c r="G16" s="62"/>
      <c r="H16" s="62"/>
      <c r="I16" s="62"/>
      <c r="J16" s="62"/>
      <c r="K16" s="62"/>
      <c r="L16" s="62"/>
      <c r="M16" s="62"/>
      <c r="N16" s="62"/>
      <c r="O16" s="68"/>
      <c r="P16" s="68"/>
      <c r="Q16" s="68"/>
      <c r="R16" s="68"/>
      <c r="S16" s="68" t="s">
        <v>281</v>
      </c>
      <c r="T16" s="68" t="s">
        <v>311</v>
      </c>
    </row>
    <row r="17" spans="1:20">
      <c r="A17" s="62"/>
      <c r="B17" s="62"/>
      <c r="C17" s="62"/>
      <c r="D17" s="62"/>
      <c r="E17" s="62"/>
      <c r="F17" s="62"/>
      <c r="G17" s="62"/>
      <c r="H17" s="68" t="s">
        <v>312</v>
      </c>
      <c r="I17" s="62"/>
      <c r="J17" s="62"/>
      <c r="K17" s="62"/>
      <c r="L17" s="62"/>
      <c r="M17" s="62"/>
      <c r="N17" s="62"/>
      <c r="O17" s="68" t="s">
        <v>285</v>
      </c>
      <c r="P17" s="68" t="s">
        <v>280</v>
      </c>
      <c r="Q17" s="68" t="s">
        <v>291</v>
      </c>
      <c r="R17" s="68"/>
      <c r="S17" s="68" t="s">
        <v>272</v>
      </c>
      <c r="T17" s="68" t="s">
        <v>292</v>
      </c>
    </row>
    <row r="18" spans="1:20">
      <c r="A18" s="62"/>
      <c r="B18" s="62"/>
      <c r="C18" s="62"/>
      <c r="D18" s="62"/>
      <c r="E18" s="62"/>
      <c r="F18" s="62"/>
      <c r="G18" s="62"/>
      <c r="H18" s="68">
        <v>0</v>
      </c>
      <c r="I18" s="62"/>
      <c r="J18" s="62"/>
      <c r="K18" s="62"/>
      <c r="L18" s="62"/>
      <c r="M18" s="62"/>
      <c r="N18" s="62"/>
      <c r="O18" s="68"/>
      <c r="P18" s="68"/>
      <c r="Q18" s="68"/>
      <c r="R18" s="68"/>
      <c r="S18" s="68" t="s">
        <v>277</v>
      </c>
      <c r="T18" s="69" t="s">
        <v>293</v>
      </c>
    </row>
    <row r="19" spans="1:20">
      <c r="A19" s="62"/>
      <c r="B19" s="62"/>
      <c r="C19" s="62"/>
      <c r="D19" s="62"/>
      <c r="E19" s="62"/>
      <c r="F19" s="62"/>
      <c r="G19" s="62"/>
      <c r="H19" s="68">
        <v>0</v>
      </c>
      <c r="I19" s="62"/>
      <c r="J19" s="62"/>
      <c r="K19" s="62"/>
      <c r="L19" s="62"/>
      <c r="M19" s="62"/>
      <c r="N19" s="62"/>
      <c r="O19" s="68"/>
      <c r="P19" s="68"/>
      <c r="Q19" s="68"/>
      <c r="R19" s="68"/>
      <c r="S19" s="68" t="s">
        <v>281</v>
      </c>
      <c r="T19" s="68" t="s">
        <v>299</v>
      </c>
    </row>
    <row r="20" spans="1:20">
      <c r="A20" s="62"/>
      <c r="B20" s="62"/>
      <c r="C20" s="62"/>
      <c r="D20" s="62"/>
      <c r="E20" s="62"/>
      <c r="F20" s="62"/>
      <c r="G20" s="62"/>
      <c r="H20" s="68">
        <v>0</v>
      </c>
      <c r="I20" s="62"/>
      <c r="J20" s="62"/>
      <c r="K20" s="62"/>
      <c r="L20" s="62"/>
      <c r="M20" s="62"/>
      <c r="N20" s="62"/>
      <c r="O20" s="68"/>
      <c r="P20" s="68"/>
      <c r="Q20" s="68" t="s">
        <v>302</v>
      </c>
      <c r="R20" s="68"/>
      <c r="S20" s="68" t="s">
        <v>272</v>
      </c>
      <c r="T20" s="68" t="s">
        <v>303</v>
      </c>
    </row>
    <row r="21" spans="1:20">
      <c r="A21" s="62"/>
      <c r="B21" s="62"/>
      <c r="C21" s="62"/>
      <c r="D21" s="62"/>
      <c r="E21" s="62"/>
      <c r="F21" s="62"/>
      <c r="G21" s="62"/>
      <c r="H21" s="68">
        <v>0</v>
      </c>
      <c r="I21" s="62"/>
      <c r="J21" s="62"/>
      <c r="K21" s="62"/>
      <c r="L21" s="62"/>
      <c r="M21" s="62"/>
      <c r="N21" s="62"/>
      <c r="O21" s="68"/>
      <c r="P21" s="68"/>
      <c r="Q21" s="68"/>
      <c r="R21" s="68"/>
      <c r="S21" s="68" t="s">
        <v>277</v>
      </c>
      <c r="T21" s="69" t="s">
        <v>306</v>
      </c>
    </row>
    <row r="22" spans="1:20">
      <c r="A22" s="62"/>
      <c r="B22" s="62"/>
      <c r="C22" s="62"/>
      <c r="D22" s="62"/>
      <c r="E22" s="62"/>
      <c r="F22" s="62"/>
      <c r="G22" s="62"/>
      <c r="H22" s="68">
        <v>0</v>
      </c>
      <c r="I22" s="62"/>
      <c r="J22" s="62"/>
      <c r="K22" s="62"/>
      <c r="L22" s="62"/>
      <c r="M22" s="62"/>
      <c r="N22" s="62"/>
      <c r="O22" s="68"/>
      <c r="P22" s="68"/>
      <c r="Q22" s="68"/>
      <c r="R22" s="68"/>
      <c r="S22" s="68" t="s">
        <v>281</v>
      </c>
      <c r="T22" s="68" t="s">
        <v>299</v>
      </c>
    </row>
    <row r="23" spans="1:20">
      <c r="A23" s="62"/>
      <c r="B23" s="62"/>
      <c r="C23" s="62"/>
      <c r="D23" s="62"/>
      <c r="E23" s="62"/>
      <c r="F23" s="62"/>
      <c r="G23" s="62"/>
      <c r="H23" s="68">
        <v>0</v>
      </c>
      <c r="I23" s="62"/>
      <c r="J23" s="62"/>
      <c r="K23" s="62"/>
      <c r="L23" s="62"/>
      <c r="M23" s="62"/>
      <c r="N23" s="62"/>
      <c r="O23" s="68"/>
      <c r="P23" s="68"/>
      <c r="Q23" s="68" t="s">
        <v>308</v>
      </c>
      <c r="R23" s="68"/>
      <c r="S23" s="68" t="s">
        <v>272</v>
      </c>
      <c r="T23" s="68" t="s">
        <v>309</v>
      </c>
    </row>
    <row r="24" spans="1:20">
      <c r="A24" s="62"/>
      <c r="B24" s="62"/>
      <c r="C24" s="62"/>
      <c r="D24" s="62"/>
      <c r="E24" s="62"/>
      <c r="F24" s="62"/>
      <c r="G24" s="62"/>
      <c r="H24" s="68">
        <v>0</v>
      </c>
      <c r="I24" s="62"/>
      <c r="J24" s="62"/>
      <c r="K24" s="62"/>
      <c r="L24" s="62"/>
      <c r="M24" s="62"/>
      <c r="N24" s="62"/>
      <c r="O24" s="68"/>
      <c r="P24" s="68"/>
      <c r="Q24" s="68"/>
      <c r="R24" s="68"/>
      <c r="S24" s="68" t="s">
        <v>277</v>
      </c>
      <c r="T24" s="69" t="s">
        <v>310</v>
      </c>
    </row>
    <row r="25" spans="1:20">
      <c r="A25" s="62"/>
      <c r="B25" s="62"/>
      <c r="C25" s="62"/>
      <c r="D25" s="62"/>
      <c r="E25" s="62"/>
      <c r="F25" s="62"/>
      <c r="G25" s="62"/>
      <c r="H25" s="68">
        <v>0</v>
      </c>
      <c r="I25" s="62"/>
      <c r="J25" s="62"/>
      <c r="K25" s="62"/>
      <c r="L25" s="62"/>
      <c r="M25" s="62"/>
      <c r="N25" s="62"/>
      <c r="O25" s="68"/>
      <c r="P25" s="68"/>
      <c r="Q25" s="68"/>
      <c r="R25" s="68"/>
      <c r="S25" s="68" t="s">
        <v>281</v>
      </c>
      <c r="T25" s="68" t="s">
        <v>311</v>
      </c>
    </row>
    <row r="26" spans="1:20">
      <c r="A26" s="62"/>
      <c r="B26" s="62"/>
      <c r="C26" s="62"/>
      <c r="D26" s="62"/>
      <c r="E26" s="62"/>
      <c r="F26" s="62"/>
      <c r="G26" s="62"/>
      <c r="H26" s="68">
        <v>0</v>
      </c>
      <c r="I26" s="62"/>
      <c r="J26" s="62"/>
      <c r="K26" s="62"/>
      <c r="L26" s="62"/>
      <c r="M26" s="62"/>
      <c r="N26" s="62"/>
      <c r="O26" s="68" t="s">
        <v>288</v>
      </c>
      <c r="P26" s="68" t="s">
        <v>289</v>
      </c>
      <c r="Q26" s="68" t="s">
        <v>308</v>
      </c>
      <c r="R26" s="68"/>
      <c r="S26" s="68" t="s">
        <v>272</v>
      </c>
      <c r="T26" s="68" t="s">
        <v>309</v>
      </c>
    </row>
    <row r="27" spans="1:20">
      <c r="A27" s="62"/>
      <c r="B27" s="62"/>
      <c r="C27" s="62"/>
      <c r="D27" s="62"/>
      <c r="E27" s="62"/>
      <c r="F27" s="62"/>
      <c r="G27" s="62"/>
      <c r="H27" s="68">
        <v>0</v>
      </c>
      <c r="I27" s="62"/>
      <c r="J27" s="62"/>
      <c r="K27" s="62"/>
      <c r="L27" s="62"/>
      <c r="M27" s="62"/>
      <c r="N27" s="62"/>
      <c r="O27" s="68"/>
      <c r="P27" s="68"/>
      <c r="Q27" s="68"/>
      <c r="R27" s="68"/>
      <c r="S27" s="68" t="s">
        <v>277</v>
      </c>
      <c r="T27" s="69" t="s">
        <v>310</v>
      </c>
    </row>
    <row r="28" spans="1:20">
      <c r="A28" s="62"/>
      <c r="B28" s="62"/>
      <c r="C28" s="62"/>
      <c r="D28" s="62"/>
      <c r="E28" s="62"/>
      <c r="F28" s="62"/>
      <c r="G28" s="62"/>
      <c r="H28" s="68">
        <v>0</v>
      </c>
      <c r="I28" s="62"/>
      <c r="J28" s="62"/>
      <c r="K28" s="62"/>
      <c r="L28" s="62"/>
      <c r="M28" s="62"/>
      <c r="N28" s="62"/>
      <c r="O28" s="68"/>
      <c r="P28" s="68"/>
      <c r="Q28" s="68"/>
      <c r="R28" s="68"/>
      <c r="S28" s="68" t="s">
        <v>281</v>
      </c>
      <c r="T28" s="68" t="s">
        <v>311</v>
      </c>
    </row>
    <row r="29" spans="1:20">
      <c r="A29" s="62"/>
      <c r="B29" s="62"/>
      <c r="C29" s="62"/>
      <c r="D29" s="62"/>
      <c r="E29" s="62"/>
      <c r="F29" s="62"/>
      <c r="G29" s="62"/>
      <c r="H29" s="68">
        <v>0</v>
      </c>
      <c r="I29" s="62"/>
      <c r="J29" s="62"/>
      <c r="K29" s="62"/>
      <c r="L29" s="62"/>
      <c r="M29" s="62"/>
      <c r="N29" s="62"/>
      <c r="O29" s="68"/>
      <c r="P29" s="68"/>
      <c r="Q29" s="68" t="s">
        <v>291</v>
      </c>
      <c r="R29" s="68"/>
      <c r="S29" s="68" t="s">
        <v>272</v>
      </c>
      <c r="T29" s="68" t="s">
        <v>292</v>
      </c>
    </row>
    <row r="30" spans="1:20">
      <c r="A30" s="62"/>
      <c r="B30" s="62"/>
      <c r="C30" s="62"/>
      <c r="D30" s="62"/>
      <c r="E30" s="62"/>
      <c r="F30" s="62"/>
      <c r="G30" s="62"/>
      <c r="H30" s="68">
        <v>0</v>
      </c>
      <c r="I30" s="62"/>
      <c r="J30" s="62"/>
      <c r="K30" s="62"/>
      <c r="L30" s="62"/>
      <c r="M30" s="62"/>
      <c r="N30" s="62"/>
      <c r="O30" s="68"/>
      <c r="P30" s="68"/>
      <c r="Q30" s="68"/>
      <c r="R30" s="68"/>
      <c r="S30" s="68" t="s">
        <v>277</v>
      </c>
      <c r="T30" s="69" t="s">
        <v>293</v>
      </c>
    </row>
    <row r="31" spans="1:20">
      <c r="A31" s="62"/>
      <c r="B31" s="62"/>
      <c r="C31" s="62"/>
      <c r="D31" s="62"/>
      <c r="E31" s="62"/>
      <c r="F31" s="62"/>
      <c r="G31" s="62"/>
      <c r="H31" s="68">
        <v>0</v>
      </c>
      <c r="I31" s="62"/>
      <c r="J31" s="62"/>
      <c r="K31" s="62"/>
      <c r="L31" s="62"/>
      <c r="M31" s="62"/>
      <c r="N31" s="62"/>
      <c r="O31" s="68"/>
      <c r="P31" s="68"/>
      <c r="Q31" s="68"/>
      <c r="R31" s="68"/>
      <c r="S31" s="68" t="s">
        <v>281</v>
      </c>
      <c r="T31" s="68" t="s">
        <v>299</v>
      </c>
    </row>
    <row r="32" spans="1:20">
      <c r="A32" s="62"/>
      <c r="B32" s="62"/>
      <c r="C32" s="62"/>
      <c r="D32" s="62"/>
      <c r="E32" s="62"/>
      <c r="F32" s="62"/>
      <c r="G32" s="62"/>
      <c r="H32" s="68">
        <v>0</v>
      </c>
      <c r="I32" s="62"/>
      <c r="J32" s="62"/>
      <c r="K32" s="62"/>
      <c r="L32" s="62"/>
      <c r="M32" s="62"/>
      <c r="N32" s="62"/>
      <c r="O32" s="68" t="s">
        <v>294</v>
      </c>
      <c r="P32" s="68" t="s">
        <v>295</v>
      </c>
      <c r="Q32" s="68" t="s">
        <v>313</v>
      </c>
      <c r="R32" s="68"/>
      <c r="S32" s="68" t="s">
        <v>272</v>
      </c>
      <c r="T32" s="68" t="s">
        <v>314</v>
      </c>
    </row>
    <row r="33" spans="1:20">
      <c r="A33" s="62"/>
      <c r="B33" s="62"/>
      <c r="C33" s="62"/>
      <c r="D33" s="62"/>
      <c r="E33" s="62"/>
      <c r="F33" s="62"/>
      <c r="G33" s="62"/>
      <c r="H33" s="68">
        <v>0</v>
      </c>
      <c r="I33" s="62"/>
      <c r="J33" s="62"/>
      <c r="K33" s="62"/>
      <c r="L33" s="62"/>
      <c r="M33" s="62"/>
      <c r="N33" s="62"/>
      <c r="O33" s="68"/>
      <c r="P33" s="68"/>
      <c r="Q33" s="68"/>
      <c r="R33" s="68"/>
      <c r="S33" s="68" t="s">
        <v>277</v>
      </c>
      <c r="T33" s="69" t="s">
        <v>315</v>
      </c>
    </row>
    <row r="34" spans="1:20">
      <c r="A34" s="62"/>
      <c r="B34" s="62"/>
      <c r="C34" s="62"/>
      <c r="D34" s="62"/>
      <c r="E34" s="62"/>
      <c r="F34" s="62"/>
      <c r="G34" s="62"/>
      <c r="H34" s="68">
        <v>0</v>
      </c>
      <c r="I34" s="62"/>
      <c r="J34" s="62"/>
      <c r="K34" s="62"/>
      <c r="L34" s="62"/>
      <c r="M34" s="62"/>
      <c r="N34" s="62"/>
      <c r="O34" s="68"/>
      <c r="P34" s="68"/>
      <c r="Q34" s="68"/>
      <c r="R34" s="68"/>
      <c r="S34" s="68" t="s">
        <v>281</v>
      </c>
      <c r="T34" s="68" t="s">
        <v>316</v>
      </c>
    </row>
    <row r="35" spans="1:20">
      <c r="A35" s="62"/>
      <c r="B35" s="62"/>
      <c r="C35" s="62"/>
      <c r="D35" s="62"/>
      <c r="E35" s="62"/>
      <c r="F35" s="62"/>
      <c r="G35" s="62"/>
      <c r="H35" s="68">
        <v>0</v>
      </c>
      <c r="I35" s="62"/>
      <c r="J35" s="62"/>
      <c r="K35" s="62"/>
      <c r="L35" s="62"/>
      <c r="M35" s="62"/>
      <c r="N35" s="62"/>
      <c r="O35" s="68"/>
      <c r="P35" s="68"/>
      <c r="Q35" s="68" t="s">
        <v>317</v>
      </c>
      <c r="R35" s="68"/>
      <c r="S35" s="68" t="s">
        <v>272</v>
      </c>
      <c r="T35" s="68" t="s">
        <v>292</v>
      </c>
    </row>
    <row r="36" spans="1:20">
      <c r="A36" s="62"/>
      <c r="B36" s="62"/>
      <c r="C36" s="62"/>
      <c r="D36" s="62"/>
      <c r="E36" s="62"/>
      <c r="F36" s="62"/>
      <c r="G36" s="62"/>
      <c r="H36" s="68">
        <v>0</v>
      </c>
      <c r="I36" s="62"/>
      <c r="J36" s="62"/>
      <c r="K36" s="62"/>
      <c r="L36" s="62"/>
      <c r="M36" s="62"/>
      <c r="N36" s="62"/>
      <c r="O36" s="68"/>
      <c r="P36" s="68"/>
      <c r="Q36" s="68"/>
      <c r="R36" s="68"/>
      <c r="S36" s="68" t="s">
        <v>277</v>
      </c>
      <c r="T36" s="69" t="s">
        <v>293</v>
      </c>
    </row>
    <row r="37" spans="1:20">
      <c r="A37" s="62"/>
      <c r="B37" s="62"/>
      <c r="C37" s="62"/>
      <c r="D37" s="62"/>
      <c r="E37" s="62"/>
      <c r="F37" s="62"/>
      <c r="G37" s="62"/>
      <c r="H37" s="68">
        <v>0</v>
      </c>
      <c r="I37" s="62"/>
      <c r="J37" s="62"/>
      <c r="K37" s="62"/>
      <c r="L37" s="62"/>
      <c r="M37" s="62"/>
      <c r="N37" s="62"/>
      <c r="O37" s="68"/>
      <c r="P37" s="68"/>
      <c r="Q37" s="68"/>
      <c r="R37" s="68"/>
      <c r="S37" s="68" t="s">
        <v>281</v>
      </c>
      <c r="T37" s="68" t="s">
        <v>299</v>
      </c>
    </row>
    <row r="38" spans="1:20">
      <c r="A38" s="62"/>
      <c r="B38" s="62"/>
      <c r="C38" s="62"/>
      <c r="D38" s="62"/>
      <c r="E38" s="62"/>
      <c r="F38" s="62"/>
      <c r="G38" s="62"/>
      <c r="H38" s="68">
        <v>0</v>
      </c>
      <c r="I38" s="62"/>
      <c r="J38" s="62"/>
      <c r="K38" s="62"/>
      <c r="L38" s="62"/>
      <c r="M38" s="62"/>
      <c r="N38" s="62"/>
      <c r="O38" s="68" t="s">
        <v>304</v>
      </c>
      <c r="P38" s="68" t="s">
        <v>305</v>
      </c>
      <c r="Q38" s="68" t="s">
        <v>318</v>
      </c>
      <c r="R38" s="68" t="s">
        <v>319</v>
      </c>
      <c r="S38" s="68" t="s">
        <v>272</v>
      </c>
      <c r="T38" s="68"/>
    </row>
    <row r="39" spans="1:20">
      <c r="A39" s="62"/>
      <c r="B39" s="62"/>
      <c r="C39" s="62"/>
      <c r="D39" s="62"/>
      <c r="E39" s="62"/>
      <c r="F39" s="62"/>
      <c r="G39" s="62"/>
      <c r="H39" s="68">
        <v>0</v>
      </c>
      <c r="I39" s="62"/>
      <c r="J39" s="62"/>
      <c r="K39" s="62"/>
      <c r="L39" s="62"/>
      <c r="M39" s="62"/>
      <c r="N39" s="62"/>
      <c r="O39" s="68"/>
      <c r="P39" s="68"/>
      <c r="Q39" s="68"/>
      <c r="R39" s="68" t="s">
        <v>320</v>
      </c>
      <c r="S39" s="68" t="s">
        <v>277</v>
      </c>
      <c r="T39" s="68"/>
    </row>
    <row r="40" spans="1:20">
      <c r="A40" s="62"/>
      <c r="B40" s="62"/>
      <c r="C40" s="62"/>
      <c r="D40" s="62"/>
      <c r="E40" s="62"/>
      <c r="F40" s="62"/>
      <c r="G40" s="62"/>
      <c r="H40" s="68">
        <v>0</v>
      </c>
      <c r="I40" s="62"/>
      <c r="J40" s="62"/>
      <c r="K40" s="62"/>
      <c r="L40" s="62"/>
      <c r="M40" s="62"/>
      <c r="N40" s="62"/>
      <c r="O40" s="68"/>
      <c r="P40" s="68"/>
      <c r="Q40" s="68"/>
      <c r="R40" s="68" t="s">
        <v>321</v>
      </c>
      <c r="S40" s="68" t="s">
        <v>281</v>
      </c>
      <c r="T40" s="68"/>
    </row>
    <row r="41" spans="1:20">
      <c r="A41" s="62"/>
      <c r="B41" s="62"/>
      <c r="C41" s="62"/>
      <c r="D41" s="62"/>
      <c r="E41" s="62"/>
      <c r="F41" s="62"/>
      <c r="G41" s="62"/>
      <c r="H41" s="68">
        <v>0</v>
      </c>
      <c r="I41" s="62"/>
      <c r="J41" s="62"/>
      <c r="K41" s="62"/>
      <c r="L41" s="62"/>
      <c r="M41" s="62"/>
      <c r="N41" s="62"/>
      <c r="O41" s="68"/>
      <c r="P41" s="68"/>
      <c r="Q41" s="68" t="s">
        <v>322</v>
      </c>
      <c r="R41" s="68"/>
      <c r="S41" s="68" t="s">
        <v>272</v>
      </c>
      <c r="T41" s="68" t="s">
        <v>323</v>
      </c>
    </row>
    <row r="42" spans="1:20">
      <c r="A42" s="62"/>
      <c r="B42" s="62"/>
      <c r="C42" s="62"/>
      <c r="D42" s="62"/>
      <c r="E42" s="62"/>
      <c r="F42" s="62"/>
      <c r="G42" s="62"/>
      <c r="H42" s="68">
        <v>0</v>
      </c>
      <c r="I42" s="62"/>
      <c r="J42" s="62"/>
      <c r="K42" s="62"/>
      <c r="L42" s="62"/>
      <c r="M42" s="62"/>
      <c r="N42" s="62"/>
      <c r="O42" s="68"/>
      <c r="P42" s="68"/>
      <c r="Q42" s="68"/>
      <c r="R42" s="68"/>
      <c r="S42" s="68" t="s">
        <v>277</v>
      </c>
      <c r="T42" s="69" t="s">
        <v>324</v>
      </c>
    </row>
    <row r="43" spans="1:20">
      <c r="A43" s="62"/>
      <c r="B43" s="62"/>
      <c r="C43" s="62"/>
      <c r="D43" s="62"/>
      <c r="E43" s="62"/>
      <c r="F43" s="62"/>
      <c r="G43" s="62"/>
      <c r="H43" s="68">
        <v>0</v>
      </c>
      <c r="I43" s="62"/>
      <c r="J43" s="62"/>
      <c r="K43" s="62"/>
      <c r="L43" s="62"/>
      <c r="M43" s="62"/>
      <c r="N43" s="62"/>
      <c r="O43" s="68"/>
      <c r="P43" s="68"/>
      <c r="Q43" s="68"/>
      <c r="R43" s="68"/>
      <c r="S43" s="68" t="s">
        <v>281</v>
      </c>
      <c r="T43" s="68" t="s">
        <v>325</v>
      </c>
    </row>
    <row r="44" spans="1:20">
      <c r="A44" s="62"/>
      <c r="B44" s="62"/>
      <c r="C44" s="62"/>
      <c r="D44" s="62"/>
      <c r="E44" s="62"/>
      <c r="F44" s="62"/>
      <c r="G44" s="62"/>
      <c r="H44" s="68">
        <v>0</v>
      </c>
      <c r="I44" s="62"/>
      <c r="J44" s="62"/>
      <c r="K44" s="62"/>
      <c r="L44" s="62"/>
      <c r="M44" s="62"/>
      <c r="N44" s="62"/>
      <c r="O44" s="68"/>
      <c r="P44" s="68"/>
      <c r="Q44" s="68" t="s">
        <v>326</v>
      </c>
      <c r="R44" s="68"/>
      <c r="S44" s="68" t="s">
        <v>272</v>
      </c>
      <c r="T44" s="68" t="s">
        <v>273</v>
      </c>
    </row>
    <row r="45" spans="1:20">
      <c r="A45" s="62"/>
      <c r="B45" s="62"/>
      <c r="C45" s="62"/>
      <c r="D45" s="62"/>
      <c r="E45" s="62"/>
      <c r="F45" s="62"/>
      <c r="G45" s="62"/>
      <c r="H45" s="68">
        <v>0</v>
      </c>
      <c r="I45" s="62"/>
      <c r="J45" s="62"/>
      <c r="K45" s="62"/>
      <c r="L45" s="62"/>
      <c r="M45" s="62"/>
      <c r="N45" s="62"/>
      <c r="O45" s="68"/>
      <c r="P45" s="68"/>
      <c r="Q45" s="68"/>
      <c r="R45" s="68"/>
      <c r="S45" s="68" t="s">
        <v>277</v>
      </c>
      <c r="T45" s="69" t="s">
        <v>327</v>
      </c>
    </row>
    <row r="46" spans="1:20">
      <c r="A46" s="62"/>
      <c r="B46" s="62"/>
      <c r="C46" s="62"/>
      <c r="D46" s="62"/>
      <c r="E46" s="62"/>
      <c r="F46" s="62"/>
      <c r="G46" s="62"/>
      <c r="H46" s="68">
        <v>0</v>
      </c>
      <c r="I46" s="62"/>
      <c r="J46" s="62"/>
      <c r="K46" s="62"/>
      <c r="L46" s="62"/>
      <c r="M46" s="62"/>
      <c r="N46" s="62"/>
      <c r="O46" s="68"/>
      <c r="P46" s="68"/>
      <c r="Q46" s="68"/>
      <c r="R46" s="68"/>
      <c r="S46" s="68" t="s">
        <v>281</v>
      </c>
      <c r="T46" s="68" t="s">
        <v>328</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1"/>
  <sheetViews>
    <sheetView workbookViewId="0">
      <selection activeCell="G1" sqref="G$1:G$1048576"/>
    </sheetView>
  </sheetViews>
  <sheetFormatPr defaultColWidth="9" defaultRowHeight="14.1" outlineLevelCol="4"/>
  <cols>
    <col min="1" max="1" width="40.6216216216216" style="50" customWidth="1"/>
  </cols>
  <sheetData>
    <row r="1" spans="1:5">
      <c r="A1" s="51" t="s">
        <v>329</v>
      </c>
      <c r="B1" s="52"/>
      <c r="C1" s="52"/>
      <c r="D1" s="52"/>
      <c r="E1" s="52"/>
    </row>
    <row r="2" ht="14.55" spans="1:5">
      <c r="A2" s="53" t="s">
        <v>330</v>
      </c>
      <c r="B2" s="54"/>
      <c r="C2" s="52"/>
      <c r="D2" s="52"/>
      <c r="E2" s="52"/>
    </row>
    <row r="3" ht="14.55" spans="1:5">
      <c r="A3" s="53" t="s">
        <v>331</v>
      </c>
      <c r="B3" s="54"/>
      <c r="C3" s="52"/>
      <c r="D3" s="52"/>
      <c r="E3" s="52"/>
    </row>
    <row r="4" ht="14.55" spans="1:5">
      <c r="A4" s="53" t="s">
        <v>332</v>
      </c>
      <c r="B4" s="54"/>
    </row>
    <row r="5" ht="14.55" spans="1:5">
      <c r="A5" s="53" t="s">
        <v>333</v>
      </c>
      <c r="B5" s="54"/>
    </row>
    <row r="6" ht="14.55" spans="1:5">
      <c r="A6" s="53" t="s">
        <v>334</v>
      </c>
      <c r="B6" s="54"/>
    </row>
    <row r="7" ht="14.55" spans="1:5">
      <c r="A7" s="53" t="s">
        <v>335</v>
      </c>
      <c r="B7" s="54"/>
    </row>
    <row r="8" ht="14.55" spans="1:5">
      <c r="A8" s="53" t="s">
        <v>336</v>
      </c>
      <c r="B8" s="54"/>
    </row>
    <row r="9" ht="14.55" spans="1:5">
      <c r="A9" s="53" t="s">
        <v>337</v>
      </c>
      <c r="B9" s="54"/>
    </row>
    <row r="10" ht="14.55" spans="1:5">
      <c r="A10" s="53" t="s">
        <v>338</v>
      </c>
      <c r="B10" s="54"/>
    </row>
    <row r="11" ht="14.55" spans="1:5">
      <c r="A11" s="53" t="s">
        <v>339</v>
      </c>
      <c r="B11" s="54"/>
    </row>
    <row r="12" ht="14.55" spans="1:5">
      <c r="A12" s="53" t="s">
        <v>340</v>
      </c>
      <c r="B12" s="54"/>
    </row>
    <row r="13" ht="14.55" spans="1:5">
      <c r="A13" s="53" t="s">
        <v>341</v>
      </c>
      <c r="B13" s="54"/>
    </row>
    <row r="14" ht="14.55" spans="1:5">
      <c r="A14" s="53" t="s">
        <v>342</v>
      </c>
      <c r="B14" s="54"/>
    </row>
    <row r="15" ht="14.55" spans="1:5">
      <c r="A15" s="53" t="s">
        <v>343</v>
      </c>
      <c r="B15" s="54"/>
    </row>
    <row r="16" ht="14.55" spans="1:5">
      <c r="A16" s="53" t="s">
        <v>344</v>
      </c>
      <c r="B16" s="54"/>
    </row>
    <row r="17" ht="14.55" spans="1:2">
      <c r="A17" s="53" t="s">
        <v>345</v>
      </c>
      <c r="B17" s="54"/>
    </row>
    <row r="18" ht="14.55" spans="1:2">
      <c r="A18" s="53" t="s">
        <v>346</v>
      </c>
      <c r="B18" s="54"/>
    </row>
    <row r="19" ht="14.55" spans="1:2">
      <c r="A19" s="53" t="s">
        <v>347</v>
      </c>
      <c r="B19" s="54"/>
    </row>
    <row r="20" ht="14.55" spans="1:2">
      <c r="A20" s="53" t="s">
        <v>348</v>
      </c>
      <c r="B20" s="54"/>
    </row>
    <row r="21" ht="14.55" spans="1:2">
      <c r="A21" s="53" t="s">
        <v>349</v>
      </c>
      <c r="B21" s="54"/>
    </row>
    <row r="22" ht="14.55" spans="1:2">
      <c r="A22" s="53" t="s">
        <v>350</v>
      </c>
      <c r="B22" s="54"/>
    </row>
    <row r="23" ht="14.55" spans="1:2">
      <c r="A23" s="53" t="s">
        <v>351</v>
      </c>
      <c r="B23" s="54"/>
    </row>
    <row r="24" ht="14.55" spans="1:2">
      <c r="A24" s="53" t="s">
        <v>352</v>
      </c>
      <c r="B24" s="54"/>
    </row>
    <row r="25" spans="1:2">
      <c r="A25" s="53" t="s">
        <v>353</v>
      </c>
    </row>
    <row r="26" spans="1:2">
      <c r="A26" s="53" t="s">
        <v>354</v>
      </c>
    </row>
    <row r="27" spans="1:2">
      <c r="A27" s="53" t="s">
        <v>355</v>
      </c>
    </row>
    <row r="28" spans="1:2">
      <c r="A28" s="53" t="s">
        <v>356</v>
      </c>
    </row>
    <row r="29" spans="1:2">
      <c r="A29" s="53" t="s">
        <v>357</v>
      </c>
    </row>
    <row r="30" spans="1:2">
      <c r="A30" s="53" t="s">
        <v>358</v>
      </c>
    </row>
    <row r="31" spans="1:2">
      <c r="A31" s="53" t="s">
        <v>359</v>
      </c>
    </row>
    <row r="32" spans="1:2">
      <c r="A32" s="53" t="s">
        <v>360</v>
      </c>
    </row>
    <row r="33" spans="1:1">
      <c r="A33" s="53" t="s">
        <v>361</v>
      </c>
    </row>
    <row r="34" spans="1:1">
      <c r="A34" s="53" t="s">
        <v>362</v>
      </c>
    </row>
    <row r="35" spans="1:1">
      <c r="A35" s="53" t="s">
        <v>363</v>
      </c>
    </row>
    <row r="36" spans="1:1">
      <c r="A36" s="53" t="s">
        <v>364</v>
      </c>
    </row>
    <row r="37" spans="1:1">
      <c r="A37" s="53" t="s">
        <v>365</v>
      </c>
    </row>
    <row r="38" spans="1:1">
      <c r="A38" s="53" t="s">
        <v>366</v>
      </c>
    </row>
    <row r="39" spans="1:1">
      <c r="A39" s="53" t="s">
        <v>367</v>
      </c>
    </row>
    <row r="40" spans="1:1">
      <c r="A40" s="53" t="s">
        <v>368</v>
      </c>
    </row>
    <row r="41" spans="1:1">
      <c r="A41" s="53" t="s">
        <v>369</v>
      </c>
    </row>
    <row r="42" spans="1:1">
      <c r="A42" s="53" t="s">
        <v>370</v>
      </c>
    </row>
    <row r="43" spans="1:1">
      <c r="A43" s="53" t="s">
        <v>371</v>
      </c>
    </row>
    <row r="44" spans="1:1">
      <c r="A44" s="53" t="s">
        <v>372</v>
      </c>
    </row>
    <row r="45" spans="1:1">
      <c r="A45" s="53" t="s">
        <v>373</v>
      </c>
    </row>
    <row r="46" spans="1:1">
      <c r="A46" s="53" t="s">
        <v>374</v>
      </c>
    </row>
    <row r="47" spans="1:1">
      <c r="A47" s="53" t="s">
        <v>375</v>
      </c>
    </row>
    <row r="48" spans="1:1">
      <c r="A48" s="53" t="s">
        <v>376</v>
      </c>
    </row>
    <row r="49" spans="1:1">
      <c r="A49" s="53" t="s">
        <v>377</v>
      </c>
    </row>
    <row r="50" spans="1:1">
      <c r="A50" s="53" t="s">
        <v>378</v>
      </c>
    </row>
    <row r="51" spans="1:1">
      <c r="A51" s="53" t="s">
        <v>379</v>
      </c>
    </row>
    <row r="52" spans="1:1">
      <c r="A52" s="53" t="s">
        <v>380</v>
      </c>
    </row>
    <row r="53" spans="1:1">
      <c r="A53" s="53" t="s">
        <v>381</v>
      </c>
    </row>
    <row r="54" spans="1:1">
      <c r="A54" s="53" t="s">
        <v>382</v>
      </c>
    </row>
    <row r="55" spans="1:1">
      <c r="A55" s="53" t="s">
        <v>383</v>
      </c>
    </row>
    <row r="56" spans="1:1">
      <c r="A56" s="53" t="s">
        <v>384</v>
      </c>
    </row>
    <row r="57" spans="1:1">
      <c r="A57" s="53" t="s">
        <v>385</v>
      </c>
    </row>
    <row r="58" spans="1:1">
      <c r="A58" s="53" t="s">
        <v>386</v>
      </c>
    </row>
    <row r="59" spans="1:1">
      <c r="A59" s="53" t="s">
        <v>387</v>
      </c>
    </row>
    <row r="60" spans="1:1">
      <c r="A60" s="53" t="s">
        <v>388</v>
      </c>
    </row>
    <row r="61" spans="1:1">
      <c r="A61" s="55"/>
    </row>
    <row r="62" spans="1:1">
      <c r="A62" s="55"/>
    </row>
    <row r="64" spans="1:1">
      <c r="A64" s="56" t="s">
        <v>389</v>
      </c>
    </row>
    <row r="65" spans="1:1">
      <c r="A65" s="57" t="s">
        <v>390</v>
      </c>
    </row>
    <row r="66" spans="1:1">
      <c r="A66" s="57" t="s">
        <v>391</v>
      </c>
    </row>
    <row r="67" spans="1:1">
      <c r="A67" s="57" t="s">
        <v>392</v>
      </c>
    </row>
    <row r="68" spans="1:1">
      <c r="A68" s="57" t="s">
        <v>393</v>
      </c>
    </row>
    <row r="69" spans="1:1">
      <c r="A69" s="57" t="s">
        <v>394</v>
      </c>
    </row>
    <row r="70" spans="1:1">
      <c r="A70" s="57"/>
    </row>
    <row r="71" spans="1:1">
      <c r="A71" s="57"/>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71"/>
  <sheetViews>
    <sheetView zoomScale="130" zoomScaleNormal="130" topLeftCell="A160" workbookViewId="0">
      <selection activeCell="D244" sqref="D244:D248"/>
    </sheetView>
  </sheetViews>
  <sheetFormatPr defaultColWidth="9" defaultRowHeight="14.1" outlineLevelCol="3"/>
  <cols>
    <col min="1" max="1" width="16" customWidth="1"/>
    <col min="2" max="2" width="14.5045045045045" customWidth="1"/>
    <col min="3" max="3" width="22.6216216216216" customWidth="1"/>
    <col min="4" max="4" width="18.9099099099099" customWidth="1"/>
  </cols>
  <sheetData>
    <row r="1" spans="1:4">
      <c r="A1" s="3" t="s">
        <v>395</v>
      </c>
      <c r="B1" s="4" t="s">
        <v>396</v>
      </c>
      <c r="C1" s="4" t="s">
        <v>397</v>
      </c>
      <c r="D1" s="4" t="s">
        <v>398</v>
      </c>
    </row>
    <row r="2" spans="1:4">
      <c r="A2" s="5" t="s">
        <v>399</v>
      </c>
      <c r="B2" s="6" t="s">
        <v>400</v>
      </c>
      <c r="C2" s="7" t="s">
        <v>401</v>
      </c>
    </row>
    <row r="3" spans="1:4">
      <c r="A3" s="8"/>
      <c r="B3" s="9"/>
      <c r="C3" s="10" t="s">
        <v>402</v>
      </c>
    </row>
    <row r="4" spans="1:4">
      <c r="A4" s="8"/>
      <c r="B4" s="9"/>
      <c r="C4" s="10" t="s">
        <v>403</v>
      </c>
    </row>
    <row r="5" spans="1:4">
      <c r="A5" s="8"/>
      <c r="B5" s="9"/>
      <c r="C5" s="10" t="s">
        <v>404</v>
      </c>
    </row>
    <row r="6" spans="1:4">
      <c r="A6" s="8"/>
      <c r="B6" s="9"/>
      <c r="C6" s="7" t="s">
        <v>405</v>
      </c>
    </row>
    <row r="7" spans="1:4">
      <c r="A7" s="8"/>
      <c r="B7" s="9"/>
      <c r="C7" s="10" t="s">
        <v>406</v>
      </c>
    </row>
    <row r="8" spans="1:4">
      <c r="A8" s="8"/>
      <c r="B8" s="9"/>
      <c r="C8" s="10" t="s">
        <v>407</v>
      </c>
    </row>
    <row r="9" spans="1:4">
      <c r="A9" s="8"/>
      <c r="B9" s="9"/>
      <c r="C9" s="10" t="s">
        <v>408</v>
      </c>
    </row>
    <row r="10" spans="1:4">
      <c r="A10" s="8"/>
      <c r="B10" s="9"/>
      <c r="C10" s="7" t="s">
        <v>409</v>
      </c>
    </row>
    <row r="11" spans="1:4">
      <c r="A11" s="8"/>
      <c r="B11" s="9"/>
      <c r="C11" s="10" t="s">
        <v>410</v>
      </c>
    </row>
    <row r="12" spans="1:4">
      <c r="A12" s="8"/>
      <c r="B12" s="9"/>
      <c r="C12" s="10" t="s">
        <v>411</v>
      </c>
    </row>
    <row r="13" spans="1:4">
      <c r="A13" s="8"/>
      <c r="B13" s="9"/>
      <c r="C13" s="10" t="s">
        <v>412</v>
      </c>
    </row>
    <row r="14" spans="1:4">
      <c r="A14" s="8"/>
      <c r="B14" s="9"/>
      <c r="C14" s="10" t="s">
        <v>413</v>
      </c>
    </row>
    <row r="15" spans="1:4">
      <c r="A15" s="8"/>
      <c r="B15" s="9"/>
      <c r="C15" s="10" t="s">
        <v>414</v>
      </c>
    </row>
    <row r="16" spans="1:4">
      <c r="A16" s="8"/>
      <c r="B16" s="11"/>
      <c r="C16" s="10" t="s">
        <v>415</v>
      </c>
    </row>
    <row r="17" spans="1:3">
      <c r="A17" s="8"/>
      <c r="B17" s="6" t="s">
        <v>416</v>
      </c>
      <c r="C17" s="10" t="s">
        <v>417</v>
      </c>
    </row>
    <row r="18" spans="1:3">
      <c r="A18" s="8"/>
      <c r="B18" s="9"/>
      <c r="C18" s="10" t="s">
        <v>418</v>
      </c>
    </row>
    <row r="19" spans="1:3">
      <c r="A19" s="8"/>
      <c r="B19" s="11"/>
      <c r="C19" s="10" t="s">
        <v>419</v>
      </c>
    </row>
    <row r="20" spans="1:3">
      <c r="A20" s="8"/>
      <c r="B20" s="12" t="s">
        <v>335</v>
      </c>
      <c r="C20" s="10" t="s">
        <v>420</v>
      </c>
    </row>
    <row r="21" spans="1:3">
      <c r="A21" s="8"/>
      <c r="B21" s="13"/>
      <c r="C21" s="10" t="s">
        <v>421</v>
      </c>
    </row>
    <row r="22" spans="1:3">
      <c r="A22" s="8"/>
      <c r="B22" s="13"/>
      <c r="C22" s="10" t="s">
        <v>422</v>
      </c>
    </row>
    <row r="23" spans="1:3">
      <c r="A23" s="8"/>
      <c r="B23" s="14"/>
      <c r="C23" s="10" t="s">
        <v>423</v>
      </c>
    </row>
    <row r="24" spans="1:3">
      <c r="A24" s="8"/>
      <c r="B24" s="12" t="s">
        <v>339</v>
      </c>
      <c r="C24" s="15" t="s">
        <v>424</v>
      </c>
    </row>
    <row r="25" spans="1:3">
      <c r="A25" s="8"/>
      <c r="B25" s="13"/>
      <c r="C25" s="16" t="s">
        <v>425</v>
      </c>
    </row>
    <row r="26" spans="1:3">
      <c r="A26" s="8"/>
      <c r="B26" s="13"/>
      <c r="C26" s="15" t="s">
        <v>426</v>
      </c>
    </row>
    <row r="27" spans="1:3">
      <c r="A27" s="8"/>
      <c r="B27" s="13"/>
      <c r="C27" s="16" t="s">
        <v>427</v>
      </c>
    </row>
    <row r="28" spans="1:3">
      <c r="A28" s="17"/>
      <c r="B28" s="14"/>
      <c r="C28" s="16" t="s">
        <v>428</v>
      </c>
    </row>
    <row r="29" spans="1:3">
      <c r="A29" s="5" t="s">
        <v>429</v>
      </c>
      <c r="B29" s="18" t="s">
        <v>430</v>
      </c>
      <c r="C29" s="15" t="s">
        <v>431</v>
      </c>
    </row>
    <row r="30" spans="1:3">
      <c r="A30" s="8"/>
      <c r="B30" s="19"/>
      <c r="C30" s="10" t="s">
        <v>432</v>
      </c>
    </row>
    <row r="31" spans="1:3">
      <c r="A31" s="8"/>
      <c r="B31" s="19"/>
      <c r="C31" s="10" t="s">
        <v>433</v>
      </c>
    </row>
    <row r="32" spans="1:3">
      <c r="A32" s="8"/>
      <c r="B32" s="19"/>
      <c r="C32" s="10" t="s">
        <v>434</v>
      </c>
    </row>
    <row r="33" spans="1:4">
      <c r="A33" s="17"/>
      <c r="B33" s="20"/>
      <c r="C33" s="16" t="s">
        <v>435</v>
      </c>
    </row>
    <row r="34" spans="1:4">
      <c r="A34" s="5" t="s">
        <v>436</v>
      </c>
      <c r="B34" s="18" t="s">
        <v>350</v>
      </c>
      <c r="C34" s="21" t="s">
        <v>437</v>
      </c>
      <c r="D34" s="22" t="s">
        <v>438</v>
      </c>
    </row>
    <row r="35" spans="1:4">
      <c r="A35" s="8"/>
      <c r="B35" s="19"/>
      <c r="C35" s="23"/>
      <c r="D35" s="22" t="s">
        <v>439</v>
      </c>
    </row>
    <row r="36" spans="1:4">
      <c r="A36" s="8"/>
      <c r="B36" s="19"/>
      <c r="C36" s="23"/>
      <c r="D36" s="22" t="s">
        <v>440</v>
      </c>
    </row>
    <row r="37" spans="1:4">
      <c r="A37" s="8"/>
      <c r="B37" s="19"/>
      <c r="C37" s="24"/>
      <c r="D37" s="22" t="s">
        <v>441</v>
      </c>
    </row>
    <row r="38" spans="1:4">
      <c r="A38" s="8"/>
      <c r="B38" s="19"/>
      <c r="C38" s="21" t="s">
        <v>442</v>
      </c>
      <c r="D38" s="22" t="s">
        <v>443</v>
      </c>
    </row>
    <row r="39" spans="1:4">
      <c r="A39" s="8"/>
      <c r="B39" s="19"/>
      <c r="C39" s="23"/>
      <c r="D39" s="22" t="s">
        <v>444</v>
      </c>
    </row>
    <row r="40" spans="1:4">
      <c r="A40" s="8"/>
      <c r="B40" s="19"/>
      <c r="C40" s="23"/>
      <c r="D40" s="22" t="s">
        <v>445</v>
      </c>
    </row>
    <row r="41" spans="1:4">
      <c r="A41" s="8"/>
      <c r="B41" s="19"/>
      <c r="C41" s="23"/>
      <c r="D41" s="22" t="s">
        <v>446</v>
      </c>
    </row>
    <row r="42" spans="1:4">
      <c r="A42" s="8"/>
      <c r="B42" s="19"/>
      <c r="C42" s="24"/>
      <c r="D42" s="22" t="s">
        <v>447</v>
      </c>
    </row>
    <row r="43" spans="1:4">
      <c r="A43" s="8"/>
      <c r="B43" s="19"/>
      <c r="C43" s="25" t="s">
        <v>448</v>
      </c>
      <c r="D43" s="22" t="s">
        <v>449</v>
      </c>
    </row>
    <row r="44" spans="1:4">
      <c r="A44" s="8"/>
      <c r="B44" s="19"/>
      <c r="C44" s="26" t="s">
        <v>450</v>
      </c>
      <c r="D44" s="22" t="s">
        <v>450</v>
      </c>
    </row>
    <row r="45" spans="1:4">
      <c r="A45" s="8"/>
      <c r="B45" s="19"/>
      <c r="C45" s="27"/>
      <c r="D45" s="22" t="s">
        <v>451</v>
      </c>
    </row>
    <row r="46" spans="1:4">
      <c r="A46" s="8"/>
      <c r="B46" s="19"/>
      <c r="C46" s="21" t="s">
        <v>452</v>
      </c>
      <c r="D46" s="22" t="s">
        <v>453</v>
      </c>
    </row>
    <row r="47" spans="1:4">
      <c r="A47" s="8"/>
      <c r="B47" s="19"/>
      <c r="C47" s="23"/>
      <c r="D47" s="22" t="s">
        <v>454</v>
      </c>
    </row>
    <row r="48" spans="1:4">
      <c r="A48" s="8"/>
      <c r="B48" s="19"/>
      <c r="C48" s="23"/>
      <c r="D48" s="22" t="s">
        <v>455</v>
      </c>
    </row>
    <row r="49" spans="1:4">
      <c r="A49" s="8"/>
      <c r="B49" s="19"/>
      <c r="C49" s="24"/>
      <c r="D49" s="22" t="s">
        <v>456</v>
      </c>
    </row>
    <row r="50" spans="1:4">
      <c r="A50" s="8"/>
      <c r="B50" s="19"/>
      <c r="C50" s="23" t="s">
        <v>457</v>
      </c>
      <c r="D50" s="22" t="s">
        <v>458</v>
      </c>
    </row>
    <row r="51" spans="1:4">
      <c r="A51" s="8"/>
      <c r="B51" s="19"/>
      <c r="C51" s="23"/>
      <c r="D51" s="22" t="s">
        <v>459</v>
      </c>
    </row>
    <row r="52" spans="1:4">
      <c r="A52" s="8"/>
      <c r="B52" s="19"/>
      <c r="C52" s="23"/>
      <c r="D52" s="22" t="s">
        <v>460</v>
      </c>
    </row>
    <row r="53" spans="1:4">
      <c r="A53" s="8"/>
      <c r="B53" s="19"/>
      <c r="C53" s="23"/>
      <c r="D53" s="22" t="s">
        <v>461</v>
      </c>
    </row>
    <row r="54" spans="1:4">
      <c r="A54" s="8"/>
      <c r="B54" s="19"/>
      <c r="C54" s="23"/>
      <c r="D54" s="22" t="s">
        <v>462</v>
      </c>
    </row>
    <row r="55" spans="1:4">
      <c r="A55" s="8"/>
      <c r="B55" s="19"/>
      <c r="C55" s="24"/>
      <c r="D55" s="22" t="s">
        <v>463</v>
      </c>
    </row>
    <row r="56" spans="1:4">
      <c r="A56" s="8"/>
      <c r="B56" s="19"/>
      <c r="C56" s="26" t="s">
        <v>464</v>
      </c>
      <c r="D56" s="22" t="s">
        <v>465</v>
      </c>
    </row>
    <row r="57" spans="1:4">
      <c r="A57" s="8"/>
      <c r="B57" s="19"/>
      <c r="C57" s="28"/>
      <c r="D57" s="22" t="s">
        <v>466</v>
      </c>
    </row>
    <row r="58" spans="1:4">
      <c r="A58" s="8"/>
      <c r="B58" s="19"/>
      <c r="C58" s="29" t="s">
        <v>467</v>
      </c>
      <c r="D58" s="22" t="s">
        <v>468</v>
      </c>
    </row>
    <row r="59" spans="1:4">
      <c r="A59" s="8"/>
      <c r="B59" s="19"/>
      <c r="C59" s="29"/>
      <c r="D59" s="22" t="s">
        <v>469</v>
      </c>
    </row>
    <row r="60" spans="1:4">
      <c r="A60" s="8"/>
      <c r="B60" s="19"/>
      <c r="C60" s="27"/>
      <c r="D60" s="22" t="s">
        <v>470</v>
      </c>
    </row>
    <row r="61" spans="1:4">
      <c r="A61" s="8"/>
      <c r="B61" s="19"/>
      <c r="C61" s="21" t="s">
        <v>471</v>
      </c>
      <c r="D61" s="22" t="s">
        <v>472</v>
      </c>
    </row>
    <row r="62" spans="1:4">
      <c r="A62" s="8"/>
      <c r="B62" s="19"/>
      <c r="C62" s="23"/>
      <c r="D62" s="22" t="s">
        <v>473</v>
      </c>
    </row>
    <row r="63" spans="1:4">
      <c r="A63" s="8"/>
      <c r="B63" s="19"/>
      <c r="C63" s="23"/>
      <c r="D63" s="22" t="s">
        <v>439</v>
      </c>
    </row>
    <row r="64" spans="1:4">
      <c r="A64" s="8"/>
      <c r="B64" s="19"/>
      <c r="C64" s="23"/>
      <c r="D64" s="22" t="s">
        <v>441</v>
      </c>
    </row>
    <row r="65" spans="1:4">
      <c r="A65" s="8"/>
      <c r="B65" s="19"/>
      <c r="C65" s="24"/>
      <c r="D65" s="22" t="s">
        <v>440</v>
      </c>
    </row>
    <row r="66" spans="1:4">
      <c r="A66" s="8"/>
      <c r="B66" s="19"/>
      <c r="C66" s="26" t="s">
        <v>474</v>
      </c>
      <c r="D66" s="22" t="s">
        <v>438</v>
      </c>
    </row>
    <row r="67" spans="1:4">
      <c r="A67" s="8"/>
      <c r="B67" s="19"/>
      <c r="C67" s="29"/>
      <c r="D67" s="22" t="s">
        <v>475</v>
      </c>
    </row>
    <row r="68" spans="1:4">
      <c r="A68" s="8"/>
      <c r="B68" s="19"/>
      <c r="C68" s="29"/>
      <c r="D68" s="22" t="s">
        <v>445</v>
      </c>
    </row>
    <row r="69" spans="1:4">
      <c r="A69" s="8"/>
      <c r="B69" s="19"/>
      <c r="C69" s="29"/>
      <c r="D69" s="22" t="s">
        <v>476</v>
      </c>
    </row>
    <row r="70" spans="1:4">
      <c r="A70" s="8"/>
      <c r="B70" s="19"/>
      <c r="C70" s="29"/>
      <c r="D70" s="22" t="s">
        <v>477</v>
      </c>
    </row>
    <row r="71" spans="1:4">
      <c r="A71" s="8"/>
      <c r="B71" s="19"/>
      <c r="C71" s="28"/>
      <c r="D71" s="22" t="s">
        <v>478</v>
      </c>
    </row>
    <row r="72" spans="1:4">
      <c r="A72" s="8"/>
      <c r="B72" s="19"/>
      <c r="C72" s="29" t="s">
        <v>479</v>
      </c>
      <c r="D72" s="22" t="s">
        <v>480</v>
      </c>
    </row>
    <row r="73" spans="1:4">
      <c r="A73" s="8"/>
      <c r="B73" s="19"/>
      <c r="C73" s="29"/>
      <c r="D73" s="22" t="s">
        <v>481</v>
      </c>
    </row>
    <row r="74" spans="1:4">
      <c r="A74" s="8"/>
      <c r="B74" s="19"/>
      <c r="C74" s="27"/>
      <c r="D74" s="22" t="s">
        <v>482</v>
      </c>
    </row>
    <row r="75" spans="1:4">
      <c r="A75" s="8"/>
      <c r="B75" s="19"/>
      <c r="C75" s="29" t="s">
        <v>483</v>
      </c>
      <c r="D75" s="22" t="s">
        <v>450</v>
      </c>
    </row>
    <row r="76" spans="1:4">
      <c r="A76" s="8"/>
      <c r="B76" s="19"/>
      <c r="C76" s="27"/>
      <c r="D76" s="22" t="s">
        <v>484</v>
      </c>
    </row>
    <row r="77" spans="1:4">
      <c r="A77" s="8"/>
      <c r="B77" s="19"/>
      <c r="C77" s="29" t="s">
        <v>485</v>
      </c>
      <c r="D77" s="22" t="s">
        <v>453</v>
      </c>
    </row>
    <row r="78" spans="1:4">
      <c r="A78" s="8"/>
      <c r="B78" s="19"/>
      <c r="C78" s="29"/>
      <c r="D78" s="22" t="s">
        <v>454</v>
      </c>
    </row>
    <row r="79" spans="1:4">
      <c r="A79" s="8"/>
      <c r="B79" s="19"/>
      <c r="C79" s="29"/>
      <c r="D79" s="22" t="s">
        <v>455</v>
      </c>
    </row>
    <row r="80" spans="1:4">
      <c r="A80" s="8"/>
      <c r="B80" s="19"/>
      <c r="C80" s="27"/>
      <c r="D80" s="22" t="s">
        <v>456</v>
      </c>
    </row>
    <row r="81" spans="1:4">
      <c r="A81" s="8"/>
      <c r="B81" s="19"/>
      <c r="C81" s="26" t="s">
        <v>486</v>
      </c>
      <c r="D81" s="22" t="s">
        <v>487</v>
      </c>
    </row>
    <row r="82" spans="1:4">
      <c r="A82" s="8"/>
      <c r="B82" s="19"/>
      <c r="C82" s="29"/>
      <c r="D82" s="22" t="s">
        <v>463</v>
      </c>
    </row>
    <row r="83" spans="1:4">
      <c r="A83" s="8"/>
      <c r="B83" s="19"/>
      <c r="C83" s="29"/>
      <c r="D83" s="22" t="s">
        <v>460</v>
      </c>
    </row>
    <row r="84" spans="1:4">
      <c r="A84" s="8"/>
      <c r="B84" s="19"/>
      <c r="C84" s="29"/>
      <c r="D84" s="22" t="s">
        <v>461</v>
      </c>
    </row>
    <row r="85" spans="1:4">
      <c r="A85" s="8"/>
      <c r="B85" s="19"/>
      <c r="C85" s="29"/>
      <c r="D85" s="22" t="s">
        <v>488</v>
      </c>
    </row>
    <row r="86" spans="1:4">
      <c r="A86" s="8"/>
      <c r="B86" s="19"/>
      <c r="C86" s="28"/>
      <c r="D86" s="22" t="s">
        <v>489</v>
      </c>
    </row>
    <row r="87" spans="1:4">
      <c r="A87" s="8"/>
      <c r="B87" s="19"/>
      <c r="C87" s="29" t="s">
        <v>490</v>
      </c>
      <c r="D87" s="22" t="s">
        <v>491</v>
      </c>
    </row>
    <row r="88" spans="1:4">
      <c r="A88" s="8"/>
      <c r="B88" s="19"/>
      <c r="C88" s="28"/>
      <c r="D88" s="22" t="s">
        <v>466</v>
      </c>
    </row>
    <row r="89" spans="1:4">
      <c r="A89" s="8"/>
      <c r="B89" s="19"/>
      <c r="C89" s="29" t="s">
        <v>492</v>
      </c>
      <c r="D89" s="22" t="s">
        <v>493</v>
      </c>
    </row>
    <row r="90" spans="1:4">
      <c r="A90" s="8"/>
      <c r="B90" s="19"/>
      <c r="C90" s="29"/>
      <c r="D90" s="22" t="s">
        <v>494</v>
      </c>
    </row>
    <row r="91" spans="1:4">
      <c r="A91" s="8"/>
      <c r="B91" s="19"/>
      <c r="C91" s="28"/>
      <c r="D91" s="22" t="s">
        <v>495</v>
      </c>
    </row>
    <row r="92" spans="1:4">
      <c r="A92" s="8"/>
      <c r="B92" s="18" t="s">
        <v>368</v>
      </c>
      <c r="C92" s="21" t="s">
        <v>496</v>
      </c>
      <c r="D92" s="22" t="s">
        <v>497</v>
      </c>
    </row>
    <row r="93" spans="1:4">
      <c r="A93" s="8"/>
      <c r="B93" s="19"/>
      <c r="C93" s="24"/>
      <c r="D93" s="22" t="s">
        <v>498</v>
      </c>
    </row>
    <row r="94" spans="1:4">
      <c r="A94" s="8"/>
      <c r="B94" s="19"/>
      <c r="C94" s="21" t="s">
        <v>499</v>
      </c>
      <c r="D94" s="22" t="s">
        <v>500</v>
      </c>
    </row>
    <row r="95" spans="1:4">
      <c r="A95" s="8"/>
      <c r="B95" s="19"/>
      <c r="C95" s="23"/>
      <c r="D95" s="22" t="s">
        <v>501</v>
      </c>
    </row>
    <row r="96" spans="1:4">
      <c r="A96" s="8"/>
      <c r="B96" s="19"/>
      <c r="C96" s="23"/>
      <c r="D96" s="22" t="s">
        <v>502</v>
      </c>
    </row>
    <row r="97" spans="1:4">
      <c r="A97" s="8"/>
      <c r="B97" s="19"/>
      <c r="C97" s="24"/>
      <c r="D97" s="22" t="s">
        <v>503</v>
      </c>
    </row>
    <row r="98" spans="1:4">
      <c r="A98" s="8"/>
      <c r="B98" s="19"/>
      <c r="C98" s="21" t="s">
        <v>504</v>
      </c>
      <c r="D98" s="22" t="s">
        <v>505</v>
      </c>
    </row>
    <row r="99" spans="1:4">
      <c r="A99" s="8"/>
      <c r="B99" s="19"/>
      <c r="C99" s="23"/>
      <c r="D99" s="22" t="s">
        <v>506</v>
      </c>
    </row>
    <row r="100" spans="1:4">
      <c r="A100" s="8"/>
      <c r="B100" s="19"/>
      <c r="C100" s="23"/>
      <c r="D100" s="22" t="s">
        <v>507</v>
      </c>
    </row>
    <row r="101" spans="1:4">
      <c r="A101" s="8"/>
      <c r="B101" s="19"/>
      <c r="C101" s="23"/>
      <c r="D101" s="22" t="s">
        <v>508</v>
      </c>
    </row>
    <row r="102" spans="1:4">
      <c r="A102" s="8"/>
      <c r="B102" s="19"/>
      <c r="C102" s="23"/>
      <c r="D102" s="22" t="s">
        <v>509</v>
      </c>
    </row>
    <row r="103" spans="1:4">
      <c r="A103" s="8"/>
      <c r="B103" s="19"/>
      <c r="C103" s="24"/>
      <c r="D103" s="22" t="s">
        <v>510</v>
      </c>
    </row>
    <row r="104" spans="1:4">
      <c r="A104" s="8"/>
      <c r="B104" s="19"/>
      <c r="C104" s="30" t="s">
        <v>511</v>
      </c>
      <c r="D104" s="22" t="s">
        <v>512</v>
      </c>
    </row>
    <row r="105" spans="1:4">
      <c r="A105" s="8"/>
      <c r="B105" s="19"/>
      <c r="C105" s="30"/>
      <c r="D105" s="22" t="s">
        <v>513</v>
      </c>
    </row>
    <row r="106" spans="1:4">
      <c r="A106" s="8"/>
      <c r="B106" s="19"/>
      <c r="C106" s="25" t="s">
        <v>514</v>
      </c>
      <c r="D106" s="22" t="s">
        <v>515</v>
      </c>
    </row>
    <row r="107" spans="1:4">
      <c r="A107" s="8"/>
      <c r="B107" s="19"/>
      <c r="C107" s="25"/>
      <c r="D107" s="22" t="s">
        <v>516</v>
      </c>
    </row>
    <row r="108" spans="1:4">
      <c r="A108" s="8"/>
      <c r="B108" s="19"/>
      <c r="C108" s="25"/>
      <c r="D108" s="22" t="s">
        <v>517</v>
      </c>
    </row>
    <row r="109" spans="1:4">
      <c r="A109" s="8"/>
      <c r="B109" s="19"/>
      <c r="C109" s="25"/>
      <c r="D109" s="22" t="s">
        <v>518</v>
      </c>
    </row>
    <row r="110" spans="1:4">
      <c r="A110" s="8"/>
      <c r="B110" s="19"/>
      <c r="C110" s="21" t="s">
        <v>519</v>
      </c>
      <c r="D110" s="22" t="s">
        <v>520</v>
      </c>
    </row>
    <row r="111" spans="1:4">
      <c r="A111" s="8"/>
      <c r="B111" s="19"/>
      <c r="C111" s="23"/>
      <c r="D111" s="22" t="s">
        <v>521</v>
      </c>
    </row>
    <row r="112" spans="1:4">
      <c r="A112" s="8"/>
      <c r="B112" s="19"/>
      <c r="C112" s="24"/>
      <c r="D112" s="22" t="s">
        <v>522</v>
      </c>
    </row>
    <row r="113" spans="1:4">
      <c r="A113" s="8"/>
      <c r="B113" s="19"/>
      <c r="C113" s="21" t="s">
        <v>523</v>
      </c>
      <c r="D113" s="22" t="s">
        <v>524</v>
      </c>
    </row>
    <row r="114" spans="1:4">
      <c r="A114" s="8"/>
      <c r="B114" s="19"/>
      <c r="C114" s="24"/>
      <c r="D114" s="22" t="s">
        <v>525</v>
      </c>
    </row>
    <row r="115" spans="1:4">
      <c r="A115" s="8"/>
      <c r="B115" s="19"/>
      <c r="C115" s="25" t="s">
        <v>526</v>
      </c>
      <c r="D115" s="22" t="s">
        <v>527</v>
      </c>
    </row>
    <row r="116" spans="1:4">
      <c r="A116" s="8"/>
      <c r="B116" s="19"/>
      <c r="C116" s="25"/>
      <c r="D116" s="22" t="s">
        <v>528</v>
      </c>
    </row>
    <row r="117" spans="1:4">
      <c r="A117" s="8"/>
      <c r="B117" s="19"/>
      <c r="C117" s="25" t="s">
        <v>529</v>
      </c>
      <c r="D117" s="22" t="s">
        <v>530</v>
      </c>
    </row>
    <row r="118" spans="1:4">
      <c r="A118" s="8"/>
      <c r="B118" s="19"/>
      <c r="C118" s="25"/>
      <c r="D118" s="22" t="s">
        <v>531</v>
      </c>
    </row>
    <row r="119" spans="1:4">
      <c r="A119" s="8"/>
      <c r="B119" s="19"/>
      <c r="C119" s="25"/>
      <c r="D119" s="22" t="s">
        <v>532</v>
      </c>
    </row>
    <row r="120" spans="1:4">
      <c r="A120" s="8"/>
      <c r="B120" s="19"/>
      <c r="C120" s="25" t="s">
        <v>533</v>
      </c>
      <c r="D120" s="22" t="s">
        <v>534</v>
      </c>
    </row>
    <row r="121" spans="1:4">
      <c r="A121" s="8"/>
      <c r="B121" s="19"/>
      <c r="C121" s="25"/>
      <c r="D121" s="22" t="s">
        <v>535</v>
      </c>
    </row>
    <row r="122" spans="1:4">
      <c r="A122" s="8"/>
      <c r="B122" s="19"/>
      <c r="C122" s="25" t="s">
        <v>536</v>
      </c>
      <c r="D122" s="22" t="s">
        <v>537</v>
      </c>
    </row>
    <row r="123" spans="1:4">
      <c r="A123" s="8"/>
      <c r="B123" s="19"/>
      <c r="C123" s="25"/>
      <c r="D123" s="22" t="s">
        <v>538</v>
      </c>
    </row>
    <row r="124" spans="1:4">
      <c r="A124" s="8"/>
      <c r="B124" s="19"/>
      <c r="C124" s="25" t="s">
        <v>539</v>
      </c>
      <c r="D124" s="22" t="s">
        <v>540</v>
      </c>
    </row>
    <row r="125" spans="1:4">
      <c r="A125" s="8"/>
      <c r="B125" s="19"/>
      <c r="C125" s="25"/>
      <c r="D125" s="22" t="s">
        <v>541</v>
      </c>
    </row>
    <row r="126" spans="1:4">
      <c r="A126" s="8"/>
      <c r="B126" s="19"/>
      <c r="C126" s="25"/>
      <c r="D126" s="22" t="s">
        <v>542</v>
      </c>
    </row>
    <row r="127" s="1" customFormat="1" spans="1:4">
      <c r="A127" s="19"/>
      <c r="B127" s="19"/>
      <c r="C127" s="25" t="s">
        <v>543</v>
      </c>
      <c r="D127" s="31" t="s">
        <v>544</v>
      </c>
    </row>
    <row r="128" spans="1:4">
      <c r="A128" s="8"/>
      <c r="B128" s="19"/>
      <c r="C128" s="25"/>
      <c r="D128" s="22" t="s">
        <v>545</v>
      </c>
    </row>
    <row r="129" spans="1:4">
      <c r="A129" s="8"/>
      <c r="B129" s="19"/>
      <c r="C129" s="25" t="s">
        <v>546</v>
      </c>
      <c r="D129" s="22" t="s">
        <v>547</v>
      </c>
    </row>
    <row r="130" spans="1:4">
      <c r="A130" s="8"/>
      <c r="B130" s="19"/>
      <c r="C130" s="25"/>
      <c r="D130" s="22" t="s">
        <v>548</v>
      </c>
    </row>
    <row r="131" spans="1:4">
      <c r="A131" s="8"/>
      <c r="B131" s="19"/>
      <c r="C131" s="25"/>
      <c r="D131" s="22" t="s">
        <v>549</v>
      </c>
    </row>
    <row r="132" spans="1:4">
      <c r="A132" s="8"/>
      <c r="B132" s="19"/>
      <c r="C132" s="25" t="s">
        <v>550</v>
      </c>
      <c r="D132" s="22" t="s">
        <v>551</v>
      </c>
    </row>
    <row r="133" spans="1:4">
      <c r="A133" s="8"/>
      <c r="B133" s="19"/>
      <c r="C133" s="25"/>
      <c r="D133" s="22" t="s">
        <v>552</v>
      </c>
    </row>
    <row r="134" spans="1:4">
      <c r="A134" s="8"/>
      <c r="B134" s="19"/>
      <c r="C134" s="25"/>
      <c r="D134" s="22" t="s">
        <v>553</v>
      </c>
    </row>
    <row r="135" spans="1:4">
      <c r="A135" s="8"/>
      <c r="B135" s="19"/>
      <c r="C135" s="25"/>
      <c r="D135" s="22" t="s">
        <v>554</v>
      </c>
    </row>
    <row r="136" spans="1:4">
      <c r="A136" s="8"/>
      <c r="B136" s="19"/>
      <c r="C136" s="25"/>
      <c r="D136" s="22" t="s">
        <v>555</v>
      </c>
    </row>
    <row r="137" spans="1:4">
      <c r="A137" s="8"/>
      <c r="B137" s="19"/>
      <c r="C137" s="25"/>
      <c r="D137" s="22" t="s">
        <v>556</v>
      </c>
    </row>
    <row r="138" spans="1:4">
      <c r="A138" s="8"/>
      <c r="B138" s="19"/>
      <c r="C138" s="25" t="s">
        <v>557</v>
      </c>
      <c r="D138" s="22" t="s">
        <v>558</v>
      </c>
    </row>
    <row r="139" spans="1:4">
      <c r="A139" s="8"/>
      <c r="B139" s="19"/>
      <c r="C139" s="25"/>
      <c r="D139" s="22" t="s">
        <v>559</v>
      </c>
    </row>
    <row r="140" spans="1:4">
      <c r="A140" s="8"/>
      <c r="B140" s="19"/>
      <c r="C140" s="25"/>
      <c r="D140" s="22" t="s">
        <v>560</v>
      </c>
    </row>
    <row r="141" spans="1:4">
      <c r="A141" s="8"/>
      <c r="B141" s="19"/>
      <c r="C141" s="25"/>
      <c r="D141" s="22" t="s">
        <v>561</v>
      </c>
    </row>
    <row r="142" spans="1:4">
      <c r="A142" s="8"/>
      <c r="B142" s="19"/>
      <c r="C142" s="25"/>
      <c r="D142" s="22" t="s">
        <v>562</v>
      </c>
    </row>
    <row r="143" spans="1:4">
      <c r="A143" s="8"/>
      <c r="B143" s="19"/>
      <c r="C143" s="25"/>
      <c r="D143" s="22" t="s">
        <v>563</v>
      </c>
    </row>
    <row r="144" spans="1:4">
      <c r="A144" s="8"/>
      <c r="B144" s="19"/>
      <c r="C144" s="25" t="s">
        <v>564</v>
      </c>
      <c r="D144" s="22" t="s">
        <v>565</v>
      </c>
    </row>
    <row r="145" spans="1:4">
      <c r="A145" s="8"/>
      <c r="B145" s="19"/>
      <c r="C145" s="25"/>
      <c r="D145" s="22" t="s">
        <v>566</v>
      </c>
    </row>
    <row r="146" spans="1:4">
      <c r="A146" s="8"/>
      <c r="B146" s="19"/>
      <c r="C146" s="25"/>
      <c r="D146" s="22" t="s">
        <v>567</v>
      </c>
    </row>
    <row r="147" s="2" customFormat="1" spans="1:4">
      <c r="A147" s="32"/>
      <c r="B147" s="33" t="s">
        <v>568</v>
      </c>
      <c r="C147" s="34" t="s">
        <v>569</v>
      </c>
      <c r="D147" s="35" t="s">
        <v>570</v>
      </c>
    </row>
    <row r="148" s="2" customFormat="1" spans="1:4">
      <c r="A148" s="32"/>
      <c r="B148" s="33"/>
      <c r="C148" s="36"/>
      <c r="D148" s="35" t="s">
        <v>571</v>
      </c>
    </row>
    <row r="149" s="2" customFormat="1" spans="1:4">
      <c r="A149" s="32"/>
      <c r="B149" s="33"/>
      <c r="C149" s="36"/>
      <c r="D149" s="35" t="s">
        <v>572</v>
      </c>
    </row>
    <row r="150" s="2" customFormat="1" spans="1:4">
      <c r="A150" s="32"/>
      <c r="B150" s="33"/>
      <c r="C150" s="37"/>
      <c r="D150" s="35" t="s">
        <v>573</v>
      </c>
    </row>
    <row r="151" s="2" customFormat="1" spans="1:4">
      <c r="A151" s="32"/>
      <c r="B151" s="33"/>
      <c r="C151" s="36" t="s">
        <v>574</v>
      </c>
      <c r="D151" s="35" t="s">
        <v>575</v>
      </c>
    </row>
    <row r="152" s="2" customFormat="1" spans="1:4">
      <c r="A152" s="32"/>
      <c r="B152" s="33"/>
      <c r="C152" s="36"/>
      <c r="D152" s="35" t="s">
        <v>576</v>
      </c>
    </row>
    <row r="153" s="2" customFormat="1" spans="1:4">
      <c r="A153" s="32"/>
      <c r="B153" s="33"/>
      <c r="C153" s="36"/>
      <c r="D153" s="35" t="s">
        <v>577</v>
      </c>
    </row>
    <row r="154" s="2" customFormat="1" spans="1:4">
      <c r="A154" s="32"/>
      <c r="B154" s="33"/>
      <c r="C154" s="36"/>
      <c r="D154" s="35" t="s">
        <v>578</v>
      </c>
    </row>
    <row r="155" s="2" customFormat="1" spans="1:4">
      <c r="A155" s="32"/>
      <c r="B155" s="33"/>
      <c r="C155" s="38" t="s">
        <v>579</v>
      </c>
      <c r="D155" s="35" t="s">
        <v>580</v>
      </c>
    </row>
    <row r="156" s="2" customFormat="1" spans="1:4">
      <c r="A156" s="32"/>
      <c r="B156" s="33"/>
      <c r="C156" s="34" t="s">
        <v>581</v>
      </c>
      <c r="D156" s="35" t="s">
        <v>582</v>
      </c>
    </row>
    <row r="157" s="2" customFormat="1" spans="1:4">
      <c r="A157" s="32"/>
      <c r="B157" s="33"/>
      <c r="C157" s="36"/>
      <c r="D157" s="35" t="s">
        <v>583</v>
      </c>
    </row>
    <row r="158" s="2" customFormat="1" spans="1:4">
      <c r="A158" s="32"/>
      <c r="B158" s="33"/>
      <c r="C158" s="36"/>
      <c r="D158" s="35" t="s">
        <v>584</v>
      </c>
    </row>
    <row r="159" s="2" customFormat="1" spans="1:4">
      <c r="A159" s="32"/>
      <c r="B159" s="33"/>
      <c r="C159" s="36"/>
      <c r="D159" s="35" t="s">
        <v>585</v>
      </c>
    </row>
    <row r="160" s="2" customFormat="1" spans="1:4">
      <c r="A160" s="32"/>
      <c r="B160" s="33"/>
      <c r="C160" s="36"/>
      <c r="D160" s="35" t="s">
        <v>586</v>
      </c>
    </row>
    <row r="161" s="2" customFormat="1" spans="1:4">
      <c r="A161" s="32"/>
      <c r="B161" s="33"/>
      <c r="C161" s="36"/>
      <c r="D161" s="35" t="s">
        <v>587</v>
      </c>
    </row>
    <row r="162" s="2" customFormat="1" spans="1:4">
      <c r="A162" s="32"/>
      <c r="B162" s="33"/>
      <c r="C162" s="36"/>
      <c r="D162" s="35" t="s">
        <v>588</v>
      </c>
    </row>
    <row r="163" s="2" customFormat="1" spans="1:4">
      <c r="A163" s="32"/>
      <c r="B163" s="33"/>
      <c r="C163" s="36"/>
      <c r="D163" s="35" t="s">
        <v>589</v>
      </c>
    </row>
    <row r="164" s="2" customFormat="1" spans="1:4">
      <c r="A164" s="32"/>
      <c r="B164" s="33"/>
      <c r="C164" s="36"/>
      <c r="D164" s="35" t="s">
        <v>590</v>
      </c>
    </row>
    <row r="165" s="2" customFormat="1" spans="1:4">
      <c r="A165" s="32"/>
      <c r="B165" s="33"/>
      <c r="C165" s="36"/>
      <c r="D165" s="35" t="s">
        <v>591</v>
      </c>
    </row>
    <row r="166" s="2" customFormat="1" spans="1:4">
      <c r="A166" s="32"/>
      <c r="B166" s="33"/>
      <c r="C166" s="36"/>
      <c r="D166" s="35" t="s">
        <v>592</v>
      </c>
    </row>
    <row r="167" s="2" customFormat="1" spans="1:4">
      <c r="A167" s="32"/>
      <c r="B167" s="33"/>
      <c r="C167" s="36"/>
      <c r="D167" s="35" t="s">
        <v>593</v>
      </c>
    </row>
    <row r="168" s="2" customFormat="1" spans="1:4">
      <c r="A168" s="32"/>
      <c r="B168" s="33"/>
      <c r="C168" s="36"/>
      <c r="D168" s="35" t="s">
        <v>594</v>
      </c>
    </row>
    <row r="169" s="2" customFormat="1" spans="1:4">
      <c r="A169" s="32"/>
      <c r="B169" s="33"/>
      <c r="C169" s="37"/>
      <c r="D169" s="35" t="s">
        <v>595</v>
      </c>
    </row>
    <row r="170" s="2" customFormat="1" spans="1:4">
      <c r="A170" s="32"/>
      <c r="B170" s="33"/>
      <c r="C170" s="36" t="s">
        <v>596</v>
      </c>
      <c r="D170" s="35" t="s">
        <v>597</v>
      </c>
    </row>
    <row r="171" s="2" customFormat="1" spans="1:4">
      <c r="A171" s="32"/>
      <c r="B171" s="33"/>
      <c r="C171" s="36"/>
      <c r="D171" s="35" t="s">
        <v>598</v>
      </c>
    </row>
    <row r="172" s="2" customFormat="1" spans="1:4">
      <c r="A172" s="32"/>
      <c r="B172" s="33"/>
      <c r="C172" s="36"/>
      <c r="D172" s="35" t="s">
        <v>599</v>
      </c>
    </row>
    <row r="173" s="2" customFormat="1" spans="1:4">
      <c r="A173" s="32"/>
      <c r="B173" s="33"/>
      <c r="C173" s="36"/>
      <c r="D173" s="35" t="s">
        <v>600</v>
      </c>
    </row>
    <row r="174" s="2" customFormat="1" spans="1:4">
      <c r="A174" s="32"/>
      <c r="B174" s="33"/>
      <c r="C174" s="36"/>
      <c r="D174" s="35" t="s">
        <v>601</v>
      </c>
    </row>
    <row r="175" s="2" customFormat="1" spans="1:4">
      <c r="A175" s="32"/>
      <c r="B175" s="33"/>
      <c r="C175" s="36"/>
      <c r="D175" s="35" t="s">
        <v>602</v>
      </c>
    </row>
    <row r="176" s="2" customFormat="1" spans="1:4">
      <c r="A176" s="32"/>
      <c r="B176" s="33"/>
      <c r="C176" s="36"/>
      <c r="D176" s="35" t="s">
        <v>583</v>
      </c>
    </row>
    <row r="177" s="2" customFormat="1" spans="1:4">
      <c r="A177" s="32"/>
      <c r="B177" s="33"/>
      <c r="C177" s="36"/>
      <c r="D177" s="35" t="s">
        <v>603</v>
      </c>
    </row>
    <row r="178" s="2" customFormat="1" spans="1:4">
      <c r="A178" s="32"/>
      <c r="B178" s="33"/>
      <c r="C178" s="36"/>
      <c r="D178" s="35" t="s">
        <v>604</v>
      </c>
    </row>
    <row r="179" s="2" customFormat="1" spans="1:4">
      <c r="A179" s="32"/>
      <c r="B179" s="33"/>
      <c r="C179" s="37"/>
      <c r="D179" s="35" t="s">
        <v>605</v>
      </c>
    </row>
    <row r="180" s="2" customFormat="1" spans="1:4">
      <c r="A180" s="32"/>
      <c r="B180" s="33"/>
      <c r="C180" s="36" t="s">
        <v>606</v>
      </c>
      <c r="D180" s="35" t="s">
        <v>607</v>
      </c>
    </row>
    <row r="181" s="2" customFormat="1" spans="1:4">
      <c r="A181" s="32"/>
      <c r="B181" s="33"/>
      <c r="C181" s="36"/>
      <c r="D181" s="35" t="s">
        <v>608</v>
      </c>
    </row>
    <row r="182" s="2" customFormat="1" spans="1:4">
      <c r="A182" s="32"/>
      <c r="B182" s="33"/>
      <c r="C182" s="36"/>
      <c r="D182" s="35" t="s">
        <v>609</v>
      </c>
    </row>
    <row r="183" s="2" customFormat="1" spans="1:4">
      <c r="A183" s="32"/>
      <c r="B183" s="33"/>
      <c r="C183" s="37"/>
      <c r="D183" s="35" t="s">
        <v>610</v>
      </c>
    </row>
    <row r="184" s="2" customFormat="1" spans="1:4">
      <c r="A184" s="32"/>
      <c r="B184" s="33"/>
      <c r="C184" s="36" t="s">
        <v>611</v>
      </c>
      <c r="D184" s="35" t="s">
        <v>612</v>
      </c>
    </row>
    <row r="185" s="2" customFormat="1" spans="1:4">
      <c r="A185" s="32"/>
      <c r="B185" s="33"/>
      <c r="C185" s="36"/>
      <c r="D185" s="35" t="s">
        <v>613</v>
      </c>
    </row>
    <row r="186" s="2" customFormat="1" spans="1:4">
      <c r="A186" s="32"/>
      <c r="B186" s="33"/>
      <c r="C186" s="36"/>
      <c r="D186" s="35" t="s">
        <v>614</v>
      </c>
    </row>
    <row r="187" s="2" customFormat="1" spans="1:4">
      <c r="A187" s="32"/>
      <c r="B187" s="33"/>
      <c r="C187" s="37"/>
      <c r="D187" s="35" t="s">
        <v>615</v>
      </c>
    </row>
    <row r="188" s="2" customFormat="1" spans="1:4">
      <c r="A188" s="32"/>
      <c r="B188" s="33"/>
      <c r="C188" s="36" t="s">
        <v>616</v>
      </c>
      <c r="D188" s="35" t="s">
        <v>617</v>
      </c>
    </row>
    <row r="189" s="2" customFormat="1" spans="1:4">
      <c r="A189" s="32"/>
      <c r="B189" s="33"/>
      <c r="C189" s="36"/>
      <c r="D189" s="35" t="s">
        <v>618</v>
      </c>
    </row>
    <row r="190" s="2" customFormat="1" spans="1:4">
      <c r="A190" s="32"/>
      <c r="B190" s="33"/>
      <c r="C190" s="37"/>
      <c r="D190" s="35" t="s">
        <v>619</v>
      </c>
    </row>
    <row r="191" s="2" customFormat="1" spans="1:4">
      <c r="A191" s="32"/>
      <c r="B191" s="33"/>
      <c r="C191" s="36" t="s">
        <v>620</v>
      </c>
      <c r="D191" s="35" t="s">
        <v>621</v>
      </c>
    </row>
    <row r="192" s="2" customFormat="1" spans="1:4">
      <c r="A192" s="32"/>
      <c r="B192" s="33"/>
      <c r="C192" s="36"/>
      <c r="D192" s="35" t="s">
        <v>622</v>
      </c>
    </row>
    <row r="193" s="2" customFormat="1" spans="1:4">
      <c r="A193" s="32"/>
      <c r="B193" s="33"/>
      <c r="C193" s="36"/>
      <c r="D193" s="35" t="s">
        <v>623</v>
      </c>
    </row>
    <row r="194" s="2" customFormat="1" spans="1:4">
      <c r="A194" s="32"/>
      <c r="B194" s="33"/>
      <c r="C194" s="37"/>
      <c r="D194" s="35" t="s">
        <v>624</v>
      </c>
    </row>
    <row r="195" s="2" customFormat="1" spans="1:4">
      <c r="A195" s="32"/>
      <c r="B195" s="33"/>
      <c r="C195" s="36" t="s">
        <v>625</v>
      </c>
      <c r="D195" s="35" t="s">
        <v>626</v>
      </c>
    </row>
    <row r="196" s="2" customFormat="1" spans="1:4">
      <c r="A196" s="32"/>
      <c r="B196" s="33"/>
      <c r="C196" s="36"/>
      <c r="D196" s="35" t="s">
        <v>627</v>
      </c>
    </row>
    <row r="197" s="2" customFormat="1" spans="1:4">
      <c r="A197" s="32"/>
      <c r="B197" s="33"/>
      <c r="C197" s="36"/>
      <c r="D197" s="35" t="s">
        <v>628</v>
      </c>
    </row>
    <row r="198" s="2" customFormat="1" spans="1:4">
      <c r="A198" s="32"/>
      <c r="B198" s="33"/>
      <c r="C198" s="36"/>
      <c r="D198" s="35" t="s">
        <v>629</v>
      </c>
    </row>
    <row r="199" s="2" customFormat="1" spans="1:4">
      <c r="A199" s="32"/>
      <c r="B199" s="33"/>
      <c r="C199" s="36"/>
      <c r="D199" s="35" t="s">
        <v>630</v>
      </c>
    </row>
    <row r="200" s="2" customFormat="1" spans="1:4">
      <c r="A200" s="32"/>
      <c r="B200" s="33"/>
      <c r="C200" s="37"/>
      <c r="D200" s="35" t="s">
        <v>631</v>
      </c>
    </row>
    <row r="201" spans="1:4">
      <c r="A201" s="8"/>
      <c r="B201" s="18" t="s">
        <v>353</v>
      </c>
      <c r="C201" s="21" t="s">
        <v>632</v>
      </c>
      <c r="D201" s="22" t="s">
        <v>633</v>
      </c>
    </row>
    <row r="202" spans="1:4">
      <c r="A202" s="8"/>
      <c r="B202" s="19"/>
      <c r="C202" s="23"/>
      <c r="D202" s="22" t="s">
        <v>634</v>
      </c>
    </row>
    <row r="203" spans="1:4">
      <c r="A203" s="8"/>
      <c r="B203" s="19"/>
      <c r="C203" s="23"/>
      <c r="D203" s="22" t="s">
        <v>635</v>
      </c>
    </row>
    <row r="204" spans="1:4">
      <c r="A204" s="8"/>
      <c r="B204" s="19"/>
      <c r="C204" s="23"/>
      <c r="D204" s="22" t="s">
        <v>636</v>
      </c>
    </row>
    <row r="205" spans="1:4">
      <c r="A205" s="8"/>
      <c r="B205" s="19"/>
      <c r="C205" s="23"/>
      <c r="D205" s="22" t="s">
        <v>637</v>
      </c>
    </row>
    <row r="206" spans="1:4">
      <c r="A206" s="8"/>
      <c r="B206" s="19"/>
      <c r="C206" s="23"/>
      <c r="D206" s="22" t="s">
        <v>638</v>
      </c>
    </row>
    <row r="207" spans="1:4">
      <c r="A207" s="8"/>
      <c r="B207" s="19"/>
      <c r="C207" s="24"/>
      <c r="D207" s="22" t="s">
        <v>639</v>
      </c>
    </row>
    <row r="208" spans="1:4">
      <c r="A208" s="8"/>
      <c r="B208" s="19"/>
      <c r="C208" s="21" t="s">
        <v>640</v>
      </c>
      <c r="D208" s="22" t="s">
        <v>641</v>
      </c>
    </row>
    <row r="209" spans="1:4">
      <c r="A209" s="8"/>
      <c r="B209" s="19"/>
      <c r="C209" s="23"/>
      <c r="D209" s="22" t="s">
        <v>642</v>
      </c>
    </row>
    <row r="210" spans="1:4">
      <c r="A210" s="8"/>
      <c r="B210" s="19"/>
      <c r="C210" s="23"/>
      <c r="D210" s="22" t="s">
        <v>643</v>
      </c>
    </row>
    <row r="211" spans="1:4">
      <c r="A211" s="8"/>
      <c r="B211" s="19"/>
      <c r="C211" s="23"/>
      <c r="D211" s="22" t="s">
        <v>644</v>
      </c>
    </row>
    <row r="212" spans="1:4">
      <c r="A212" s="8"/>
      <c r="B212" s="19"/>
      <c r="C212" s="23"/>
      <c r="D212" s="22" t="s">
        <v>645</v>
      </c>
    </row>
    <row r="213" spans="1:4">
      <c r="A213" s="8"/>
      <c r="B213" s="19"/>
      <c r="C213" s="23"/>
      <c r="D213" s="22" t="s">
        <v>646</v>
      </c>
    </row>
    <row r="214" spans="1:4">
      <c r="A214" s="8"/>
      <c r="B214" s="19"/>
      <c r="C214" s="23"/>
      <c r="D214" s="22" t="s">
        <v>647</v>
      </c>
    </row>
    <row r="215" spans="1:4">
      <c r="A215" s="8"/>
      <c r="B215" s="19"/>
      <c r="C215" s="23"/>
      <c r="D215" s="22" t="s">
        <v>648</v>
      </c>
    </row>
    <row r="216" spans="1:4">
      <c r="A216" s="8"/>
      <c r="B216" s="19"/>
      <c r="C216" s="23"/>
      <c r="D216" s="22" t="s">
        <v>649</v>
      </c>
    </row>
    <row r="217" spans="1:4">
      <c r="A217" s="8"/>
      <c r="B217" s="19"/>
      <c r="C217" s="23"/>
      <c r="D217" s="22" t="s">
        <v>650</v>
      </c>
    </row>
    <row r="218" spans="1:4">
      <c r="A218" s="8"/>
      <c r="B218" s="19"/>
      <c r="C218" s="23"/>
      <c r="D218" s="22" t="s">
        <v>651</v>
      </c>
    </row>
    <row r="219" spans="1:4">
      <c r="A219" s="8"/>
      <c r="B219" s="19"/>
      <c r="C219" s="23"/>
      <c r="D219" s="22" t="s">
        <v>652</v>
      </c>
    </row>
    <row r="220" spans="1:4">
      <c r="A220" s="8"/>
      <c r="B220" s="19"/>
      <c r="C220" s="23"/>
      <c r="D220" s="22" t="s">
        <v>653</v>
      </c>
    </row>
    <row r="221" spans="1:4">
      <c r="A221" s="8"/>
      <c r="B221" s="19"/>
      <c r="C221" s="23"/>
      <c r="D221" s="22" t="s">
        <v>654</v>
      </c>
    </row>
    <row r="222" spans="1:4">
      <c r="A222" s="8"/>
      <c r="B222" s="19"/>
      <c r="C222" s="24"/>
      <c r="D222" s="22" t="s">
        <v>655</v>
      </c>
    </row>
    <row r="223" spans="1:4">
      <c r="A223" s="8"/>
      <c r="B223" s="19"/>
      <c r="C223" s="21" t="s">
        <v>656</v>
      </c>
      <c r="D223" s="22" t="s">
        <v>657</v>
      </c>
    </row>
    <row r="224" spans="1:4">
      <c r="A224" s="8"/>
      <c r="B224" s="19"/>
      <c r="C224" s="23"/>
      <c r="D224" s="22" t="s">
        <v>658</v>
      </c>
    </row>
    <row r="225" spans="1:4">
      <c r="A225" s="8"/>
      <c r="B225" s="19"/>
      <c r="C225" s="23"/>
      <c r="D225" s="22" t="s">
        <v>659</v>
      </c>
    </row>
    <row r="226" spans="1:4">
      <c r="A226" s="8"/>
      <c r="B226" s="19"/>
      <c r="C226" s="23"/>
      <c r="D226" s="22" t="s">
        <v>660</v>
      </c>
    </row>
    <row r="227" spans="1:4">
      <c r="A227" s="8"/>
      <c r="B227" s="19"/>
      <c r="C227" s="24"/>
      <c r="D227" s="22" t="s">
        <v>661</v>
      </c>
    </row>
    <row r="228" spans="1:4">
      <c r="A228" s="8"/>
      <c r="B228" s="19"/>
      <c r="C228" s="23" t="s">
        <v>662</v>
      </c>
      <c r="D228" s="22" t="s">
        <v>663</v>
      </c>
    </row>
    <row r="229" spans="1:4">
      <c r="A229" s="8"/>
      <c r="B229" s="19"/>
      <c r="C229" s="23"/>
      <c r="D229" s="22" t="s">
        <v>664</v>
      </c>
    </row>
    <row r="230" spans="1:4">
      <c r="A230" s="8"/>
      <c r="B230" s="19"/>
      <c r="C230" s="24"/>
      <c r="D230" s="22" t="s">
        <v>665</v>
      </c>
    </row>
    <row r="231" spans="1:4">
      <c r="A231" s="8"/>
      <c r="B231" s="19"/>
      <c r="C231" s="23" t="s">
        <v>666</v>
      </c>
      <c r="D231" s="22" t="s">
        <v>667</v>
      </c>
    </row>
    <row r="232" spans="1:4">
      <c r="A232" s="8"/>
      <c r="B232" s="19"/>
      <c r="C232" s="23"/>
      <c r="D232" s="22" t="s">
        <v>668</v>
      </c>
    </row>
    <row r="233" spans="1:4">
      <c r="A233" s="8"/>
      <c r="B233" s="19"/>
      <c r="C233" s="23"/>
      <c r="D233" s="22" t="s">
        <v>669</v>
      </c>
    </row>
    <row r="234" spans="1:4">
      <c r="A234" s="8"/>
      <c r="B234" s="19"/>
      <c r="C234" s="23"/>
      <c r="D234" s="22" t="s">
        <v>670</v>
      </c>
    </row>
    <row r="235" spans="1:4">
      <c r="A235" s="8"/>
      <c r="B235" s="19"/>
      <c r="C235" s="23"/>
      <c r="D235" s="22" t="s">
        <v>671</v>
      </c>
    </row>
    <row r="236" spans="1:4">
      <c r="A236" s="8"/>
      <c r="B236" s="19"/>
      <c r="C236" s="23"/>
      <c r="D236" s="22" t="s">
        <v>672</v>
      </c>
    </row>
    <row r="237" spans="1:4">
      <c r="A237" s="8"/>
      <c r="B237" s="19"/>
      <c r="C237" s="24"/>
      <c r="D237" s="22" t="s">
        <v>673</v>
      </c>
    </row>
    <row r="238" spans="1:4">
      <c r="A238" s="8"/>
      <c r="B238" s="19"/>
      <c r="C238" s="12" t="s">
        <v>674</v>
      </c>
      <c r="D238" s="22" t="s">
        <v>675</v>
      </c>
    </row>
    <row r="239" spans="1:4">
      <c r="A239" s="8"/>
      <c r="B239" s="19"/>
      <c r="C239" s="13"/>
      <c r="D239" s="22" t="s">
        <v>676</v>
      </c>
    </row>
    <row r="240" spans="1:4">
      <c r="A240" s="8"/>
      <c r="B240" s="19"/>
      <c r="C240" s="13"/>
      <c r="D240" s="22" t="s">
        <v>677</v>
      </c>
    </row>
    <row r="241" spans="1:4">
      <c r="A241" s="8"/>
      <c r="B241" s="19"/>
      <c r="C241" s="13"/>
      <c r="D241" s="22" t="s">
        <v>678</v>
      </c>
    </row>
    <row r="242" spans="1:4">
      <c r="A242" s="8"/>
      <c r="B242" s="19"/>
      <c r="C242" s="13"/>
      <c r="D242" s="22" t="s">
        <v>679</v>
      </c>
    </row>
    <row r="243" spans="1:4">
      <c r="A243" s="8"/>
      <c r="B243" s="19"/>
      <c r="C243" s="14"/>
      <c r="D243" s="22" t="s">
        <v>680</v>
      </c>
    </row>
    <row r="244" spans="1:4">
      <c r="A244" s="8"/>
      <c r="B244" s="19"/>
      <c r="C244" s="12" t="s">
        <v>681</v>
      </c>
      <c r="D244" s="22" t="s">
        <v>682</v>
      </c>
    </row>
    <row r="245" spans="1:4">
      <c r="A245" s="8"/>
      <c r="B245" s="19"/>
      <c r="C245" s="13"/>
      <c r="D245" s="22" t="s">
        <v>683</v>
      </c>
    </row>
    <row r="246" spans="1:4">
      <c r="A246" s="8"/>
      <c r="B246" s="19"/>
      <c r="C246" s="13"/>
      <c r="D246" s="22" t="s">
        <v>684</v>
      </c>
    </row>
    <row r="247" spans="1:4">
      <c r="A247" s="8"/>
      <c r="B247" s="19"/>
      <c r="C247" s="13"/>
      <c r="D247" s="22" t="s">
        <v>685</v>
      </c>
    </row>
    <row r="248" spans="1:4">
      <c r="A248" s="8"/>
      <c r="B248" s="19"/>
      <c r="C248" s="14"/>
      <c r="D248" s="22" t="s">
        <v>648</v>
      </c>
    </row>
    <row r="249" spans="1:4">
      <c r="A249" s="8"/>
      <c r="B249" s="19"/>
      <c r="C249" s="16"/>
    </row>
    <row r="250" ht="14.15" spans="1:4">
      <c r="A250" s="8"/>
      <c r="B250" s="18" t="s">
        <v>351</v>
      </c>
      <c r="C250" s="39" t="s">
        <v>686</v>
      </c>
    </row>
    <row r="251" spans="1:4">
      <c r="A251" s="8"/>
      <c r="B251" s="19"/>
      <c r="C251" s="10" t="s">
        <v>687</v>
      </c>
    </row>
    <row r="252" spans="1:4">
      <c r="A252" s="8"/>
      <c r="B252" s="19"/>
      <c r="C252" s="10" t="s">
        <v>688</v>
      </c>
    </row>
    <row r="253" spans="1:4">
      <c r="A253" s="8"/>
      <c r="B253" s="19"/>
      <c r="C253" s="10" t="s">
        <v>689</v>
      </c>
    </row>
    <row r="254" spans="1:4">
      <c r="A254" s="8"/>
      <c r="B254" s="19"/>
      <c r="C254" s="10" t="s">
        <v>690</v>
      </c>
    </row>
    <row r="255" spans="1:4">
      <c r="A255" s="8"/>
      <c r="B255" s="19"/>
      <c r="C255" s="10" t="s">
        <v>691</v>
      </c>
    </row>
    <row r="256" spans="1:4">
      <c r="A256" s="8"/>
      <c r="B256" s="19"/>
      <c r="C256" s="10" t="s">
        <v>692</v>
      </c>
    </row>
    <row r="257" spans="1:4">
      <c r="A257" s="8"/>
      <c r="B257" s="19"/>
      <c r="C257" s="10" t="s">
        <v>690</v>
      </c>
    </row>
    <row r="258" spans="1:4">
      <c r="A258" s="8"/>
      <c r="B258" s="19"/>
      <c r="C258" s="10" t="s">
        <v>693</v>
      </c>
    </row>
    <row r="259" ht="14.15" spans="1:4">
      <c r="A259" s="8"/>
      <c r="B259" s="19"/>
      <c r="C259" s="39" t="s">
        <v>694</v>
      </c>
    </row>
    <row r="260" spans="1:4">
      <c r="A260" s="8"/>
      <c r="B260" s="20"/>
      <c r="C260" s="10" t="s">
        <v>695</v>
      </c>
    </row>
    <row r="261" spans="1:4">
      <c r="A261" s="8"/>
      <c r="B261" s="18" t="s">
        <v>696</v>
      </c>
      <c r="C261" s="10" t="s">
        <v>697</v>
      </c>
    </row>
    <row r="262" spans="1:4">
      <c r="A262" s="8"/>
      <c r="B262" s="19"/>
      <c r="C262" s="10" t="s">
        <v>698</v>
      </c>
    </row>
    <row r="263" spans="1:4">
      <c r="A263" s="8"/>
      <c r="B263" s="19"/>
      <c r="C263" s="10" t="s">
        <v>699</v>
      </c>
    </row>
    <row r="264" spans="1:4">
      <c r="A264" s="8"/>
      <c r="B264" s="19"/>
      <c r="C264" s="10" t="s">
        <v>700</v>
      </c>
    </row>
    <row r="265" spans="1:4">
      <c r="A265" s="8"/>
      <c r="B265" s="19"/>
      <c r="C265" s="10" t="s">
        <v>701</v>
      </c>
    </row>
    <row r="266" spans="1:4">
      <c r="A266" s="8"/>
      <c r="B266" s="19"/>
      <c r="C266" s="10" t="s">
        <v>702</v>
      </c>
    </row>
    <row r="267" spans="1:4">
      <c r="A267" s="8"/>
      <c r="B267" s="19"/>
      <c r="C267" s="10" t="s">
        <v>703</v>
      </c>
    </row>
    <row r="268" spans="1:4">
      <c r="A268" s="8"/>
      <c r="B268" s="19"/>
      <c r="C268" s="10" t="s">
        <v>704</v>
      </c>
    </row>
    <row r="269" spans="1:4">
      <c r="A269" s="8"/>
      <c r="B269" s="19"/>
      <c r="C269" s="10" t="s">
        <v>705</v>
      </c>
    </row>
    <row r="270" spans="1:4">
      <c r="A270" s="8"/>
      <c r="B270" s="20"/>
      <c r="C270" s="10" t="s">
        <v>706</v>
      </c>
    </row>
    <row r="271" s="2" customFormat="1" spans="1:4">
      <c r="A271" s="32"/>
      <c r="B271" s="33" t="s">
        <v>707</v>
      </c>
      <c r="C271" s="34" t="s">
        <v>708</v>
      </c>
      <c r="D271" s="35" t="s">
        <v>709</v>
      </c>
    </row>
    <row r="272" s="2" customFormat="1" spans="1:4">
      <c r="A272" s="32"/>
      <c r="B272" s="33"/>
      <c r="C272" s="36"/>
      <c r="D272" s="35" t="s">
        <v>710</v>
      </c>
    </row>
    <row r="273" s="2" customFormat="1" spans="1:4">
      <c r="A273" s="32"/>
      <c r="B273" s="33"/>
      <c r="C273" s="36"/>
      <c r="D273" s="35" t="s">
        <v>711</v>
      </c>
    </row>
    <row r="274" s="2" customFormat="1" spans="1:4">
      <c r="A274" s="32"/>
      <c r="B274" s="33"/>
      <c r="C274" s="37"/>
      <c r="D274" s="35" t="s">
        <v>712</v>
      </c>
    </row>
    <row r="275" s="2" customFormat="1" spans="1:4">
      <c r="A275" s="32"/>
      <c r="B275" s="33"/>
      <c r="C275" s="36" t="s">
        <v>713</v>
      </c>
      <c r="D275" s="35" t="s">
        <v>714</v>
      </c>
    </row>
    <row r="276" s="2" customFormat="1" spans="1:4">
      <c r="A276" s="32"/>
      <c r="B276" s="33"/>
      <c r="C276" s="36"/>
      <c r="D276" s="35" t="s">
        <v>715</v>
      </c>
    </row>
    <row r="277" s="2" customFormat="1" spans="1:4">
      <c r="A277" s="32"/>
      <c r="B277" s="33"/>
      <c r="C277" s="36"/>
      <c r="D277" s="35" t="s">
        <v>716</v>
      </c>
    </row>
    <row r="278" s="2" customFormat="1" spans="1:4">
      <c r="A278" s="32"/>
      <c r="B278" s="33"/>
      <c r="C278" s="36"/>
      <c r="D278" s="35" t="s">
        <v>717</v>
      </c>
    </row>
    <row r="279" s="2" customFormat="1" spans="1:4">
      <c r="A279" s="32"/>
      <c r="B279" s="33"/>
      <c r="C279" s="40"/>
      <c r="D279" s="35" t="s">
        <v>718</v>
      </c>
    </row>
    <row r="280" s="2" customFormat="1" spans="1:4">
      <c r="A280" s="32"/>
      <c r="B280" s="33"/>
      <c r="C280" s="36" t="s">
        <v>719</v>
      </c>
      <c r="D280" s="35" t="s">
        <v>720</v>
      </c>
    </row>
    <row r="281" s="2" customFormat="1" spans="1:4">
      <c r="A281" s="32"/>
      <c r="B281" s="33"/>
      <c r="C281" s="36"/>
      <c r="D281" s="35" t="s">
        <v>721</v>
      </c>
    </row>
    <row r="282" s="2" customFormat="1" spans="1:4">
      <c r="A282" s="32"/>
      <c r="B282" s="33"/>
      <c r="C282" s="36"/>
      <c r="D282" s="35" t="s">
        <v>722</v>
      </c>
    </row>
    <row r="283" s="2" customFormat="1" spans="1:4">
      <c r="A283" s="32"/>
      <c r="B283" s="33"/>
      <c r="C283" s="36"/>
      <c r="D283" s="35" t="s">
        <v>723</v>
      </c>
    </row>
    <row r="284" s="2" customFormat="1" spans="1:4">
      <c r="A284" s="8"/>
      <c r="B284" s="33"/>
      <c r="C284" s="40"/>
      <c r="D284" s="35" t="s">
        <v>724</v>
      </c>
    </row>
    <row r="285" s="2" customFormat="1" spans="1:4">
      <c r="A285" s="8"/>
      <c r="B285" s="33"/>
      <c r="C285" s="38" t="s">
        <v>725</v>
      </c>
      <c r="D285" s="35" t="s">
        <v>726</v>
      </c>
    </row>
    <row r="286" s="2" customFormat="1" spans="1:4">
      <c r="A286" s="8"/>
      <c r="B286" s="33"/>
      <c r="C286" s="38"/>
      <c r="D286" s="35" t="s">
        <v>727</v>
      </c>
    </row>
    <row r="287" s="2" customFormat="1" spans="1:4">
      <c r="A287" s="8"/>
      <c r="B287" s="33"/>
      <c r="C287" s="38"/>
      <c r="D287" s="35" t="s">
        <v>728</v>
      </c>
    </row>
    <row r="288" s="2" customFormat="1" spans="1:4">
      <c r="A288" s="8"/>
      <c r="B288" s="33"/>
      <c r="C288" s="38"/>
      <c r="D288" s="35" t="s">
        <v>729</v>
      </c>
    </row>
    <row r="289" s="2" customFormat="1" spans="1:4">
      <c r="A289" s="8"/>
      <c r="B289" s="33"/>
      <c r="C289" s="38"/>
      <c r="D289" s="35" t="s">
        <v>730</v>
      </c>
    </row>
    <row r="290" s="2" customFormat="1" spans="1:4">
      <c r="A290" s="8"/>
      <c r="B290" s="33"/>
      <c r="C290" s="38"/>
      <c r="D290" s="35" t="s">
        <v>731</v>
      </c>
    </row>
    <row r="291" s="2" customFormat="1" spans="1:4">
      <c r="A291" s="8"/>
      <c r="B291" s="33"/>
      <c r="C291" s="38"/>
      <c r="D291" s="35" t="s">
        <v>732</v>
      </c>
    </row>
    <row r="292" s="2" customFormat="1" spans="1:4">
      <c r="A292" s="8"/>
      <c r="B292" s="33"/>
      <c r="C292" s="38"/>
      <c r="D292" s="35" t="s">
        <v>733</v>
      </c>
    </row>
    <row r="293" s="2" customFormat="1" spans="1:4">
      <c r="A293" s="8"/>
      <c r="B293" s="33"/>
      <c r="C293" s="38" t="s">
        <v>734</v>
      </c>
      <c r="D293" s="35" t="s">
        <v>735</v>
      </c>
    </row>
    <row r="294" s="2" customFormat="1" spans="1:4">
      <c r="A294" s="8"/>
      <c r="B294" s="33"/>
      <c r="C294" s="38"/>
      <c r="D294" s="35" t="s">
        <v>736</v>
      </c>
    </row>
    <row r="295" s="2" customFormat="1" spans="1:4">
      <c r="A295" s="8"/>
      <c r="B295" s="33"/>
      <c r="C295" s="38"/>
      <c r="D295" s="35" t="s">
        <v>450</v>
      </c>
    </row>
    <row r="296" s="2" customFormat="1" spans="1:4">
      <c r="A296" s="8"/>
      <c r="B296" s="33"/>
      <c r="C296" s="38"/>
      <c r="D296" s="35" t="s">
        <v>737</v>
      </c>
    </row>
    <row r="297" s="2" customFormat="1" spans="1:4">
      <c r="A297" s="8"/>
      <c r="B297" s="33"/>
      <c r="C297" s="38"/>
      <c r="D297" s="35" t="s">
        <v>738</v>
      </c>
    </row>
    <row r="298" s="2" customFormat="1" spans="1:4">
      <c r="A298" s="8"/>
      <c r="B298" s="33"/>
      <c r="C298" s="38"/>
      <c r="D298" s="35" t="s">
        <v>739</v>
      </c>
    </row>
    <row r="299" s="2" customFormat="1" spans="1:4">
      <c r="A299" s="8"/>
      <c r="B299" s="33"/>
      <c r="C299" s="38"/>
      <c r="D299" s="35" t="s">
        <v>740</v>
      </c>
    </row>
    <row r="300" s="2" customFormat="1" spans="1:4">
      <c r="A300" s="8"/>
      <c r="B300" s="33"/>
      <c r="C300" s="38"/>
      <c r="D300" s="35" t="s">
        <v>741</v>
      </c>
    </row>
    <row r="301" s="2" customFormat="1" spans="1:4">
      <c r="A301" s="8"/>
      <c r="B301" s="33"/>
      <c r="C301" s="38" t="s">
        <v>742</v>
      </c>
      <c r="D301" s="35" t="s">
        <v>394</v>
      </c>
    </row>
    <row r="302" s="2" customFormat="1" spans="1:4">
      <c r="A302" s="8"/>
      <c r="B302" s="33"/>
      <c r="C302" s="38"/>
      <c r="D302" s="35" t="s">
        <v>743</v>
      </c>
    </row>
    <row r="303" s="2" customFormat="1" spans="1:4">
      <c r="A303" s="8"/>
      <c r="B303" s="33"/>
      <c r="C303" s="41"/>
      <c r="D303" s="35" t="s">
        <v>744</v>
      </c>
    </row>
    <row r="304" s="2" customFormat="1" spans="1:4">
      <c r="A304" s="8"/>
      <c r="B304" s="33"/>
      <c r="C304" s="34" t="s">
        <v>511</v>
      </c>
      <c r="D304" s="35" t="s">
        <v>745</v>
      </c>
    </row>
    <row r="305" s="2" customFormat="1" spans="1:4">
      <c r="A305" s="8"/>
      <c r="B305" s="33"/>
      <c r="C305" s="36"/>
      <c r="D305" s="35" t="s">
        <v>746</v>
      </c>
    </row>
    <row r="306" s="2" customFormat="1" spans="1:4">
      <c r="A306" s="8"/>
      <c r="B306" s="33"/>
      <c r="C306" s="37"/>
      <c r="D306" s="35" t="s">
        <v>747</v>
      </c>
    </row>
    <row r="307" spans="1:4">
      <c r="A307" s="8"/>
      <c r="B307" s="33"/>
      <c r="C307" s="34" t="s">
        <v>748</v>
      </c>
      <c r="D307" s="35" t="s">
        <v>749</v>
      </c>
    </row>
    <row r="308" spans="1:4">
      <c r="A308" s="8"/>
      <c r="B308" s="33"/>
      <c r="C308" s="36"/>
      <c r="D308" s="35" t="s">
        <v>750</v>
      </c>
    </row>
    <row r="309" spans="1:4">
      <c r="A309" s="8"/>
      <c r="B309" s="33"/>
      <c r="C309" s="36"/>
      <c r="D309" s="35" t="s">
        <v>751</v>
      </c>
    </row>
    <row r="310" spans="1:4">
      <c r="A310" s="8"/>
      <c r="B310" s="33"/>
      <c r="C310" s="36"/>
      <c r="D310" s="35" t="s">
        <v>752</v>
      </c>
    </row>
    <row r="311" spans="1:4">
      <c r="A311" s="8"/>
      <c r="B311" s="33"/>
      <c r="C311" s="37"/>
      <c r="D311" s="35" t="s">
        <v>753</v>
      </c>
    </row>
    <row r="312" spans="1:4">
      <c r="A312" s="8"/>
      <c r="B312" s="33"/>
      <c r="C312" s="38" t="s">
        <v>754</v>
      </c>
      <c r="D312" s="35" t="s">
        <v>755</v>
      </c>
    </row>
    <row r="313" spans="1:4">
      <c r="A313" s="8"/>
      <c r="B313" s="33"/>
      <c r="C313" s="38"/>
      <c r="D313" s="35" t="s">
        <v>756</v>
      </c>
    </row>
    <row r="314" spans="1:4">
      <c r="A314" s="8"/>
      <c r="B314" s="33"/>
      <c r="C314" s="38"/>
      <c r="D314" s="35" t="s">
        <v>757</v>
      </c>
    </row>
    <row r="315" spans="1:4">
      <c r="A315" s="8"/>
      <c r="B315" s="33"/>
      <c r="C315" s="38"/>
      <c r="D315" s="35" t="s">
        <v>758</v>
      </c>
    </row>
    <row r="316" spans="1:4">
      <c r="A316" s="8"/>
      <c r="B316" s="33"/>
      <c r="C316" s="38"/>
      <c r="D316" s="35" t="s">
        <v>759</v>
      </c>
    </row>
    <row r="317" spans="1:4">
      <c r="A317" s="8"/>
      <c r="B317" s="33"/>
      <c r="C317" s="38" t="s">
        <v>760</v>
      </c>
      <c r="D317" s="35" t="s">
        <v>761</v>
      </c>
    </row>
    <row r="318" spans="1:4">
      <c r="A318" s="8"/>
      <c r="B318" s="33"/>
      <c r="C318" s="38"/>
      <c r="D318" s="35" t="s">
        <v>762</v>
      </c>
    </row>
    <row r="319" spans="1:4">
      <c r="A319" s="8"/>
      <c r="B319" s="33"/>
      <c r="C319" s="38"/>
      <c r="D319" s="35" t="s">
        <v>763</v>
      </c>
    </row>
    <row r="320" spans="1:4">
      <c r="A320" s="8"/>
      <c r="B320" s="33"/>
      <c r="C320" s="38"/>
      <c r="D320" s="35" t="s">
        <v>764</v>
      </c>
    </row>
    <row r="321" spans="1:4">
      <c r="A321" s="8"/>
      <c r="B321" s="33"/>
      <c r="C321" s="38"/>
      <c r="D321" s="35" t="s">
        <v>765</v>
      </c>
    </row>
    <row r="322" spans="1:4">
      <c r="A322" s="8"/>
      <c r="B322" s="33"/>
      <c r="C322" s="38"/>
      <c r="D322" s="35" t="s">
        <v>766</v>
      </c>
    </row>
    <row r="323" spans="1:4">
      <c r="A323" s="8"/>
      <c r="B323" s="33"/>
      <c r="C323" s="38"/>
      <c r="D323" s="35" t="s">
        <v>767</v>
      </c>
    </row>
    <row r="324" spans="1:4">
      <c r="A324" s="8"/>
      <c r="B324" s="33"/>
      <c r="C324" s="38" t="s">
        <v>768</v>
      </c>
      <c r="D324" s="35" t="s">
        <v>769</v>
      </c>
    </row>
    <row r="325" spans="1:4">
      <c r="A325" s="8"/>
      <c r="B325" s="33"/>
      <c r="C325" s="38"/>
      <c r="D325" s="35" t="s">
        <v>770</v>
      </c>
    </row>
    <row r="326" spans="1:4">
      <c r="A326" s="8"/>
      <c r="B326" s="33"/>
      <c r="C326" s="38"/>
      <c r="D326" s="35" t="s">
        <v>771</v>
      </c>
    </row>
    <row r="327" spans="1:4">
      <c r="A327" s="8"/>
      <c r="B327" s="33"/>
      <c r="C327" s="38"/>
      <c r="D327" s="35" t="s">
        <v>772</v>
      </c>
    </row>
    <row r="328" spans="1:4">
      <c r="A328" s="8"/>
      <c r="B328" s="33"/>
      <c r="C328" s="38"/>
      <c r="D328" s="35" t="s">
        <v>773</v>
      </c>
    </row>
    <row r="329" spans="1:4">
      <c r="A329" s="8"/>
      <c r="B329" s="33"/>
      <c r="C329" s="38" t="s">
        <v>774</v>
      </c>
      <c r="D329" s="35" t="s">
        <v>775</v>
      </c>
    </row>
    <row r="330" spans="1:4">
      <c r="A330" s="8"/>
      <c r="B330" s="33"/>
      <c r="C330" s="38"/>
      <c r="D330" s="35" t="s">
        <v>776</v>
      </c>
    </row>
    <row r="331" spans="1:4">
      <c r="A331" s="8"/>
      <c r="B331" s="33"/>
      <c r="C331" s="38" t="s">
        <v>777</v>
      </c>
      <c r="D331" s="35" t="s">
        <v>778</v>
      </c>
    </row>
    <row r="332" spans="1:4">
      <c r="A332" s="8"/>
      <c r="B332" s="33"/>
      <c r="C332" s="38"/>
      <c r="D332" s="35" t="s">
        <v>779</v>
      </c>
    </row>
    <row r="333" spans="1:4">
      <c r="A333" s="8"/>
      <c r="B333" s="33"/>
      <c r="C333" s="34" t="s">
        <v>780</v>
      </c>
      <c r="D333" s="35" t="s">
        <v>781</v>
      </c>
    </row>
    <row r="334" spans="1:4">
      <c r="A334" s="8"/>
      <c r="B334" s="33"/>
      <c r="C334" s="36"/>
      <c r="D334" s="35" t="s">
        <v>782</v>
      </c>
    </row>
    <row r="335" spans="1:4">
      <c r="A335" s="8"/>
      <c r="B335" s="33"/>
      <c r="C335" s="37"/>
      <c r="D335" s="35" t="s">
        <v>783</v>
      </c>
    </row>
    <row r="336" spans="1:4">
      <c r="A336" s="8"/>
      <c r="B336" s="18" t="s">
        <v>784</v>
      </c>
      <c r="C336" s="10" t="s">
        <v>785</v>
      </c>
      <c r="D336" s="22"/>
    </row>
    <row r="337" spans="1:3">
      <c r="A337" s="8"/>
      <c r="B337" s="19"/>
      <c r="C337" s="10" t="s">
        <v>786</v>
      </c>
    </row>
    <row r="338" spans="1:3">
      <c r="A338" s="8"/>
      <c r="B338" s="19"/>
      <c r="C338" s="10" t="s">
        <v>787</v>
      </c>
    </row>
    <row r="339" spans="1:3">
      <c r="A339" s="8"/>
      <c r="B339" s="19"/>
      <c r="C339" s="10" t="s">
        <v>788</v>
      </c>
    </row>
    <row r="340" spans="1:3">
      <c r="A340" s="8"/>
      <c r="B340" s="19"/>
      <c r="C340" s="10" t="s">
        <v>789</v>
      </c>
    </row>
    <row r="341" spans="1:3">
      <c r="A341" s="8"/>
      <c r="B341" s="20"/>
      <c r="C341" s="16" t="s">
        <v>790</v>
      </c>
    </row>
    <row r="342" ht="14.15" spans="1:3">
      <c r="A342" s="8"/>
      <c r="B342" s="18" t="s">
        <v>791</v>
      </c>
      <c r="C342" s="39" t="s">
        <v>792</v>
      </c>
    </row>
    <row r="343" ht="14.15" spans="1:3">
      <c r="A343" s="8"/>
      <c r="B343" s="19"/>
      <c r="C343" s="39" t="s">
        <v>499</v>
      </c>
    </row>
    <row r="344" spans="1:3">
      <c r="A344" s="8"/>
      <c r="B344" s="19"/>
      <c r="C344" s="42" t="s">
        <v>793</v>
      </c>
    </row>
    <row r="345" spans="1:3">
      <c r="A345" s="8"/>
      <c r="B345" s="19"/>
      <c r="C345" s="42" t="s">
        <v>794</v>
      </c>
    </row>
    <row r="346" spans="1:3">
      <c r="A346" s="8"/>
      <c r="B346" s="19"/>
      <c r="C346" s="42" t="s">
        <v>795</v>
      </c>
    </row>
    <row r="347" spans="1:3">
      <c r="A347" s="8"/>
      <c r="B347" s="19"/>
      <c r="C347" s="42" t="s">
        <v>796</v>
      </c>
    </row>
    <row r="348" spans="1:3">
      <c r="A348" s="8"/>
      <c r="B348" s="19"/>
      <c r="C348" s="42" t="s">
        <v>797</v>
      </c>
    </row>
    <row r="349" spans="1:3">
      <c r="A349" s="8"/>
      <c r="B349" s="19"/>
      <c r="C349" s="42" t="s">
        <v>798</v>
      </c>
    </row>
    <row r="350" spans="1:3">
      <c r="A350" s="8"/>
      <c r="B350" s="20"/>
      <c r="C350" s="42" t="s">
        <v>799</v>
      </c>
    </row>
    <row r="351" spans="1:3">
      <c r="A351" s="8"/>
      <c r="B351" s="43" t="s">
        <v>800</v>
      </c>
      <c r="C351" s="42" t="s">
        <v>801</v>
      </c>
    </row>
    <row r="352" spans="1:3">
      <c r="A352" s="8"/>
      <c r="B352" s="44"/>
      <c r="C352" s="42" t="s">
        <v>802</v>
      </c>
    </row>
    <row r="353" spans="1:3">
      <c r="A353" s="8"/>
      <c r="B353" s="44"/>
      <c r="C353" s="42" t="s">
        <v>803</v>
      </c>
    </row>
    <row r="354" spans="1:3">
      <c r="A354" s="8"/>
      <c r="B354" s="44"/>
      <c r="C354" s="42" t="s">
        <v>804</v>
      </c>
    </row>
    <row r="355" spans="1:3">
      <c r="A355" s="8"/>
      <c r="B355" s="44"/>
      <c r="C355" s="42" t="s">
        <v>805</v>
      </c>
    </row>
    <row r="356" spans="1:3">
      <c r="A356" s="8"/>
      <c r="B356" s="44"/>
      <c r="C356" s="42" t="s">
        <v>806</v>
      </c>
    </row>
    <row r="357" spans="1:3">
      <c r="A357" s="8"/>
      <c r="B357" s="45"/>
      <c r="C357" s="42" t="s">
        <v>807</v>
      </c>
    </row>
    <row r="358" spans="1:3">
      <c r="A358" s="8"/>
      <c r="B358" s="18" t="s">
        <v>808</v>
      </c>
      <c r="C358" s="42" t="s">
        <v>467</v>
      </c>
    </row>
    <row r="359" ht="14.15" spans="1:3">
      <c r="A359" s="8"/>
      <c r="B359" s="19"/>
      <c r="C359" s="39" t="s">
        <v>809</v>
      </c>
    </row>
    <row r="360" spans="1:3">
      <c r="A360" s="8"/>
      <c r="B360" s="19"/>
      <c r="C360" s="42" t="s">
        <v>810</v>
      </c>
    </row>
    <row r="361" spans="1:3">
      <c r="A361" s="8"/>
      <c r="B361" s="19"/>
      <c r="C361" s="42" t="s">
        <v>811</v>
      </c>
    </row>
    <row r="362" spans="1:3">
      <c r="A362" s="8"/>
      <c r="B362" s="20"/>
      <c r="C362" s="42" t="s">
        <v>812</v>
      </c>
    </row>
    <row r="363" spans="1:3">
      <c r="A363" s="8"/>
      <c r="B363" s="18" t="s">
        <v>813</v>
      </c>
      <c r="C363" s="42" t="s">
        <v>814</v>
      </c>
    </row>
    <row r="364" spans="1:3">
      <c r="A364" s="8"/>
      <c r="B364" s="19"/>
      <c r="C364" s="42" t="s">
        <v>815</v>
      </c>
    </row>
    <row r="365" spans="1:3">
      <c r="A365" s="8"/>
      <c r="B365" s="20"/>
      <c r="C365" s="42" t="s">
        <v>816</v>
      </c>
    </row>
    <row r="366" spans="1:3">
      <c r="A366" s="8"/>
      <c r="B366" s="46" t="s">
        <v>817</v>
      </c>
      <c r="C366" s="42" t="s">
        <v>818</v>
      </c>
    </row>
    <row r="367" spans="1:3">
      <c r="A367" s="8"/>
      <c r="B367" s="47"/>
      <c r="C367" s="42" t="s">
        <v>819</v>
      </c>
    </row>
    <row r="368" ht="14.15" spans="1:3">
      <c r="A368" s="8"/>
      <c r="B368" s="47"/>
      <c r="C368" s="39" t="s">
        <v>820</v>
      </c>
    </row>
    <row r="369" spans="1:3">
      <c r="A369" s="8"/>
      <c r="B369" s="47"/>
      <c r="C369" s="42" t="s">
        <v>821</v>
      </c>
    </row>
    <row r="370" spans="1:3">
      <c r="A370" s="8"/>
      <c r="B370" s="48"/>
      <c r="C370" s="42" t="s">
        <v>822</v>
      </c>
    </row>
    <row r="371" ht="14.15" spans="1:3">
      <c r="A371" s="17"/>
      <c r="B371" s="49" t="s">
        <v>823</v>
      </c>
      <c r="C371" s="39" t="s">
        <v>824</v>
      </c>
    </row>
  </sheetData>
  <mergeCells count="83">
    <mergeCell ref="A2:A28"/>
    <mergeCell ref="A29:A33"/>
    <mergeCell ref="A34:A371"/>
    <mergeCell ref="B2:B16"/>
    <mergeCell ref="B17:B19"/>
    <mergeCell ref="B20:B23"/>
    <mergeCell ref="B24:B28"/>
    <mergeCell ref="B29:B33"/>
    <mergeCell ref="B34:B91"/>
    <mergeCell ref="B92:B146"/>
    <mergeCell ref="B147:B179"/>
    <mergeCell ref="B201:B249"/>
    <mergeCell ref="B250:B260"/>
    <mergeCell ref="B261:B270"/>
    <mergeCell ref="B271:B328"/>
    <mergeCell ref="B336:B341"/>
    <mergeCell ref="B342:B350"/>
    <mergeCell ref="B351:B357"/>
    <mergeCell ref="B358:B362"/>
    <mergeCell ref="B363:B365"/>
    <mergeCell ref="B366:B370"/>
    <mergeCell ref="C34:C37"/>
    <mergeCell ref="C38:C42"/>
    <mergeCell ref="C44:C45"/>
    <mergeCell ref="C46:C49"/>
    <mergeCell ref="C50:C55"/>
    <mergeCell ref="C56:C57"/>
    <mergeCell ref="C58:C60"/>
    <mergeCell ref="C61:C65"/>
    <mergeCell ref="C66:C71"/>
    <mergeCell ref="C72:C74"/>
    <mergeCell ref="C75:C76"/>
    <mergeCell ref="C77:C80"/>
    <mergeCell ref="C81:C86"/>
    <mergeCell ref="C87:C88"/>
    <mergeCell ref="C89:C91"/>
    <mergeCell ref="C92:C93"/>
    <mergeCell ref="C94:C97"/>
    <mergeCell ref="C98:C103"/>
    <mergeCell ref="C104:C105"/>
    <mergeCell ref="C106:C109"/>
    <mergeCell ref="C110:C112"/>
    <mergeCell ref="C113:C114"/>
    <mergeCell ref="C115:C116"/>
    <mergeCell ref="C117:C119"/>
    <mergeCell ref="C120:C121"/>
    <mergeCell ref="C122:C123"/>
    <mergeCell ref="C124:C126"/>
    <mergeCell ref="C127:C128"/>
    <mergeCell ref="C129:C131"/>
    <mergeCell ref="C132:C137"/>
    <mergeCell ref="C138:C143"/>
    <mergeCell ref="C144:C146"/>
    <mergeCell ref="C147:C150"/>
    <mergeCell ref="C151:C154"/>
    <mergeCell ref="C156:C169"/>
    <mergeCell ref="C170:C179"/>
    <mergeCell ref="C180:C183"/>
    <mergeCell ref="C184:C187"/>
    <mergeCell ref="C188:C190"/>
    <mergeCell ref="C191:C194"/>
    <mergeCell ref="C195:C200"/>
    <mergeCell ref="C201:C207"/>
    <mergeCell ref="C208:C222"/>
    <mergeCell ref="C223:C227"/>
    <mergeCell ref="C228:C230"/>
    <mergeCell ref="C231:C237"/>
    <mergeCell ref="C238:C243"/>
    <mergeCell ref="C244:C248"/>
    <mergeCell ref="C271:C274"/>
    <mergeCell ref="C275:C279"/>
    <mergeCell ref="C280:C284"/>
    <mergeCell ref="C285:C292"/>
    <mergeCell ref="C293:C300"/>
    <mergeCell ref="C301:C303"/>
    <mergeCell ref="C304:C306"/>
    <mergeCell ref="C307:C311"/>
    <mergeCell ref="C312:C316"/>
    <mergeCell ref="C317:C323"/>
    <mergeCell ref="C324:C328"/>
    <mergeCell ref="C329:C330"/>
    <mergeCell ref="C331:C332"/>
    <mergeCell ref="C333:C33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FPA功能点估算</vt:lpstr>
      <vt:lpstr>附录1-FPA评估方法说明</vt:lpstr>
      <vt:lpstr>附录2-软需工作量参考附录</vt:lpstr>
      <vt:lpstr>附录3-字典表</vt:lpstr>
      <vt:lpstr>附录4-资产分域</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dc:creator>
  <cp:lastModifiedBy>叮当猫</cp:lastModifiedBy>
  <dcterms:created xsi:type="dcterms:W3CDTF">2015-06-07T02:19:00Z</dcterms:created>
  <dcterms:modified xsi:type="dcterms:W3CDTF">2026-05-13T10:17:29Z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FA34AD29C2CC42F5BD7F29A46BF5306B_13</vt:lpwstr>
  </property>
  <property fmtid="{D5CDD505-2E9C-101B-9397-08002B2CF9AE}" pid="3" name="KSOProductBuildVer">
    <vt:lpwstr>2052-12.1.0.25865</vt:lpwstr>
  </property>
  <property fmtid="{D5CDD505-2E9C-101B-9397-08002B2CF9AE}" pid="4" name="CalculationRule">
    <vt:i4>0</vt:i4>
  </property>
</Properties>
</file>