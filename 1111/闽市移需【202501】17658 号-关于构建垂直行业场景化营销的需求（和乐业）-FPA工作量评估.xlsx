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2065" windowHeight="14725" tabRatio="691" firstSheet="0" activeTab="0" autoFilterDateGrouping="1"/>
  </bookViews>
  <sheets>
    <sheet xmlns:r="http://schemas.openxmlformats.org/officeDocument/2006/relationships" name="FPA功能点估算" sheetId="1" state="visible" r:id="rId1"/>
    <sheet xmlns:r="http://schemas.openxmlformats.org/officeDocument/2006/relationships" name="附录1-FPA评估方法说明" sheetId="2" state="visible" r:id="rId2"/>
    <sheet xmlns:r="http://schemas.openxmlformats.org/officeDocument/2006/relationships" name="附录2-软需工作量参考附录" sheetId="3" state="visible" r:id="rId3"/>
    <sheet xmlns:r="http://schemas.openxmlformats.org/officeDocument/2006/relationships" name="附录3-字典表" sheetId="4" state="visible" r:id="rId4"/>
    <sheet xmlns:r="http://schemas.openxmlformats.org/officeDocument/2006/relationships" name="附录4-资产分域" sheetId="5" state="visible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MmExcelLinker_906C69A3_41FD_4973_9FB2_54559DEDE127">业务卡全生命周期管理项目功能点估算-[1]大展!$B$3:$E$288</definedName>
    <definedName name="每秒最大访问次数">[2]主机估算基础!$B$5</definedName>
    <definedName name="每秒最大认证次数">[2]主机估算基础!$B$4</definedName>
    <definedName name="每月访问量">[2]主机估算基础!$B$3</definedName>
    <definedName name="网站用户数">[2]主机估算基础!$B$2</definedName>
    <definedName name="自助终端最大并发访问">[2]主机估算基础!$B$6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254"/>
      <color theme="1"/>
      <sz val="11"/>
      <scheme val="minor"/>
    </font>
    <font>
      <name val="宋体"/>
      <charset val="254"/>
      <b val="1"/>
      <color theme="1"/>
      <sz val="11"/>
      <scheme val="minor"/>
    </font>
    <font>
      <name val="宋体"/>
      <charset val="254"/>
      <color rgb="FF262626"/>
      <sz val="11"/>
      <scheme val="minor"/>
    </font>
    <font>
      <name val="宋体"/>
      <charset val="254"/>
      <color rgb="FF000000"/>
      <sz val="11"/>
      <scheme val="minor"/>
    </font>
    <font>
      <name val="宋体"/>
      <charset val="254"/>
      <color theme="1"/>
      <sz val="11"/>
    </font>
    <font>
      <name val="宋体"/>
      <charset val="254"/>
      <color theme="1"/>
      <sz val="10"/>
    </font>
    <font>
      <name val="Consolas"/>
      <charset val="254"/>
      <sz val="11"/>
    </font>
    <font>
      <name val="宋体"/>
      <charset val="254"/>
      <sz val="11"/>
    </font>
    <font>
      <name val="宋体"/>
      <charset val="254"/>
      <sz val="10"/>
    </font>
    <font>
      <name val="Wingdings"/>
      <charset val="254"/>
      <sz val="10"/>
    </font>
    <font>
      <name val="宋体"/>
      <charset val="254"/>
      <color rgb="FFFF0000"/>
      <sz val="10"/>
    </font>
    <font>
      <name val="宋体"/>
      <charset val="254"/>
      <b val="1"/>
      <sz val="10"/>
    </font>
    <font>
      <name val="宋体"/>
      <charset val="254"/>
      <b val="1"/>
      <color theme="1"/>
      <sz val="10"/>
    </font>
    <font>
      <name val="宋体"/>
      <charset val="254"/>
      <color rgb="FF0000FF"/>
      <sz val="11"/>
      <u val="single"/>
      <scheme val="minor"/>
    </font>
    <font>
      <name val="宋体"/>
      <charset val="254"/>
      <color rgb="FF800080"/>
      <sz val="11"/>
      <u val="single"/>
      <scheme val="minor"/>
    </font>
    <font>
      <name val="宋体"/>
      <charset val="254"/>
      <color rgb="FFFF0000"/>
      <sz val="11"/>
      <scheme val="minor"/>
    </font>
    <font>
      <name val="宋体"/>
      <charset val="254"/>
      <color theme="3"/>
      <sz val="18"/>
      <scheme val="major"/>
    </font>
    <font>
      <name val="宋体"/>
      <charset val="254"/>
      <i val="1"/>
      <color rgb="FF7F7F7F"/>
      <sz val="11"/>
      <scheme val="minor"/>
    </font>
    <font>
      <name val="宋体"/>
      <charset val="254"/>
      <b val="1"/>
      <color theme="3"/>
      <sz val="15"/>
      <scheme val="minor"/>
    </font>
    <font>
      <name val="宋体"/>
      <charset val="254"/>
      <b val="1"/>
      <color theme="3"/>
      <sz val="13"/>
      <scheme val="minor"/>
    </font>
    <font>
      <name val="宋体"/>
      <charset val="254"/>
      <b val="1"/>
      <color theme="3"/>
      <sz val="11"/>
      <scheme val="minor"/>
    </font>
    <font>
      <name val="宋体"/>
      <charset val="254"/>
      <color rgb="FF3F3F76"/>
      <sz val="11"/>
      <scheme val="minor"/>
    </font>
    <font>
      <name val="宋体"/>
      <charset val="254"/>
      <b val="1"/>
      <color rgb="FF3F3F3F"/>
      <sz val="11"/>
      <scheme val="minor"/>
    </font>
    <font>
      <name val="宋体"/>
      <charset val="254"/>
      <b val="1"/>
      <color rgb="FFFA7D00"/>
      <sz val="11"/>
      <scheme val="minor"/>
    </font>
    <font>
      <name val="宋体"/>
      <charset val="254"/>
      <b val="1"/>
      <color theme="0"/>
      <sz val="11"/>
      <scheme val="minor"/>
    </font>
    <font>
      <name val="宋体"/>
      <charset val="254"/>
      <color rgb="FFFA7D00"/>
      <sz val="11"/>
      <scheme val="minor"/>
    </font>
    <font>
      <name val="宋体"/>
      <charset val="254"/>
      <color rgb="FF006100"/>
      <sz val="11"/>
      <scheme val="minor"/>
    </font>
    <font>
      <name val="宋体"/>
      <charset val="254"/>
      <color rgb="FF9C0006"/>
      <sz val="11"/>
      <scheme val="minor"/>
    </font>
    <font>
      <name val="宋体"/>
      <charset val="254"/>
      <color rgb="FF9C5700"/>
      <sz val="11"/>
      <scheme val="minor"/>
    </font>
    <font>
      <name val="宋体"/>
      <charset val="254"/>
      <color theme="0"/>
      <sz val="11"/>
      <scheme val="minor"/>
    </font>
    <font>
      <name val="宋体"/>
      <charset val="254"/>
      <sz val="12"/>
    </font>
    <font>
      <name val="Times New Roman"/>
      <charset val="254"/>
      <sz val="12"/>
    </font>
    <font>
      <name val="Times New Roman"/>
      <charset val="254"/>
      <sz val="10"/>
    </font>
    <font>
      <name val="宋体"/>
      <charset val="254"/>
      <sz val="9"/>
    </font>
    <font>
      <name val="Tahoma"/>
      <charset val="254"/>
      <b val="1"/>
      <sz val="9"/>
    </font>
    <font>
      <name val="Tahoma"/>
      <charset val="254"/>
      <sz val="9"/>
    </font>
  </fonts>
  <fills count="39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2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26" applyAlignment="1">
      <alignment vertical="center"/>
    </xf>
    <xf numFmtId="0" fontId="19" fillId="0" borderId="27" applyAlignment="1">
      <alignment vertical="center"/>
    </xf>
    <xf numFmtId="0" fontId="20" fillId="0" borderId="28" applyAlignment="1">
      <alignment vertical="center"/>
    </xf>
    <xf numFmtId="0" fontId="20" fillId="0" borderId="0" applyAlignment="1">
      <alignment vertical="center"/>
    </xf>
    <xf numFmtId="0" fontId="21" fillId="11" borderId="29" applyAlignment="1">
      <alignment vertical="center"/>
    </xf>
    <xf numFmtId="0" fontId="22" fillId="12" borderId="30" applyAlignment="1">
      <alignment vertical="center"/>
    </xf>
    <xf numFmtId="0" fontId="23" fillId="12" borderId="29" applyAlignment="1">
      <alignment vertical="center"/>
    </xf>
    <xf numFmtId="0" fontId="24" fillId="13" borderId="31" applyAlignment="1">
      <alignment vertical="center"/>
    </xf>
    <xf numFmtId="0" fontId="25" fillId="0" borderId="32" applyAlignment="1">
      <alignment vertical="center"/>
    </xf>
    <xf numFmtId="0" fontId="1" fillId="0" borderId="33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0" fillId="6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29" fillId="2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29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  <xf numFmtId="0" fontId="29" fillId="35" borderId="0" applyAlignment="1">
      <alignment vertical="center"/>
    </xf>
    <xf numFmtId="0" fontId="0" fillId="36" borderId="0" applyAlignment="1">
      <alignment vertical="center"/>
    </xf>
    <xf numFmtId="0" fontId="0" fillId="37" borderId="0" applyAlignment="1">
      <alignment vertical="center"/>
    </xf>
    <xf numFmtId="0" fontId="0" fillId="38" borderId="0" applyAlignment="1">
      <alignment vertical="center"/>
    </xf>
    <xf numFmtId="0" fontId="30" fillId="0" borderId="0" applyAlignment="1">
      <alignment vertical="center"/>
    </xf>
    <xf numFmtId="0" fontId="31" fillId="0" borderId="0"/>
    <xf numFmtId="0" fontId="30" fillId="0" borderId="0" applyAlignment="1">
      <alignment vertical="center"/>
    </xf>
  </cellStyleXfs>
  <cellXfs count="126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1" fillId="3" borderId="1" applyAlignment="1" pivotButton="0" quotePrefix="0" xfId="0">
      <alignment horizontal="left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readingOrder="1"/>
    </xf>
    <xf numFmtId="0" fontId="0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readingOrder="1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readingOrder="1"/>
    </xf>
    <xf numFmtId="0" fontId="2" fillId="0" borderId="3" applyAlignment="1" pivotButton="0" quotePrefix="0" xfId="0">
      <alignment horizontal="center" vertical="center" readingOrder="1"/>
    </xf>
    <xf numFmtId="0" fontId="2" fillId="0" borderId="4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 readingOrder="1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readingOrder="1"/>
    </xf>
    <xf numFmtId="0" fontId="0" fillId="0" borderId="1" pivotButton="0" quotePrefix="0" xfId="0"/>
    <xf numFmtId="0" fontId="3" fillId="0" borderId="3" applyAlignment="1" pivotButton="0" quotePrefix="0" xfId="0">
      <alignment horizontal="center" vertical="center" readingOrder="1"/>
    </xf>
    <xf numFmtId="0" fontId="3" fillId="0" borderId="4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 vertical="center" readingOrder="1"/>
    </xf>
    <xf numFmtId="0" fontId="0" fillId="0" borderId="2" applyAlignment="1" pivotButton="0" quotePrefix="0" xfId="0">
      <alignment horizontal="center" wrapText="1"/>
    </xf>
    <xf numFmtId="0" fontId="0" fillId="0" borderId="4" applyAlignment="1" pivotButton="0" quotePrefix="0" xfId="0">
      <alignment horizontal="left" wrapText="1"/>
    </xf>
    <xf numFmtId="0" fontId="0" fillId="0" borderId="4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readingOrder="1"/>
    </xf>
    <xf numFmtId="0" fontId="0" fillId="4" borderId="1" pivotButton="0" quotePrefix="0" xfId="0"/>
    <xf numFmtId="0" fontId="3" fillId="4" borderId="3" applyAlignment="1" pivotButton="0" quotePrefix="0" xfId="0">
      <alignment horizontal="center" vertical="center" readingOrder="1"/>
    </xf>
    <xf numFmtId="0" fontId="3" fillId="4" borderId="4" applyAlignment="1" pivotButton="0" quotePrefix="0" xfId="0">
      <alignment horizontal="center" vertical="center" readingOrder="1"/>
    </xf>
    <xf numFmtId="0" fontId="3" fillId="4" borderId="1" applyAlignment="1" pivotButton="0" quotePrefix="0" xfId="0">
      <alignment horizontal="center" vertical="center" readingOrder="1"/>
    </xf>
    <xf numFmtId="0" fontId="0" fillId="0" borderId="1" applyAlignment="1" pivotButton="0" quotePrefix="0" xfId="0">
      <alignment horizontal="left" wrapText="1"/>
    </xf>
    <xf numFmtId="0" fontId="3" fillId="4" borderId="4" applyAlignment="1" pivotButton="0" quotePrefix="0" xfId="0">
      <alignment horizontal="left" vertical="center" readingOrder="1"/>
    </xf>
    <xf numFmtId="0" fontId="3" fillId="4" borderId="1" applyAlignment="1" pivotButton="0" quotePrefix="0" xfId="0">
      <alignment horizontal="left" vertical="center" readingOrder="1"/>
    </xf>
    <xf numFmtId="0" fontId="0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0" fillId="0" borderId="0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vertical="center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9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49" fontId="8" fillId="0" borderId="1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0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 wrapText="1"/>
    </xf>
    <xf numFmtId="0" fontId="0" fillId="0" borderId="1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6" applyAlignment="1" pivotButton="0" quotePrefix="0" xfId="0">
      <alignment horizontal="justify" vertical="center"/>
    </xf>
    <xf numFmtId="0" fontId="9" fillId="0" borderId="16" applyAlignment="1" pivotButton="0" quotePrefix="0" xfId="0">
      <alignment horizontal="justify" vertical="center"/>
    </xf>
    <xf numFmtId="0" fontId="8" fillId="0" borderId="16" applyAlignment="1" pivotButton="0" quotePrefix="0" xfId="0">
      <alignment horizontal="left" vertical="center"/>
    </xf>
    <xf numFmtId="0" fontId="10" fillId="0" borderId="16" applyAlignment="1" pivotButton="0" quotePrefix="0" xfId="0">
      <alignment horizontal="justify" vertical="center"/>
    </xf>
    <xf numFmtId="0" fontId="8" fillId="0" borderId="17" applyAlignment="1" pivotButton="0" quotePrefix="0" xfId="0">
      <alignment horizontal="justify" vertical="center"/>
    </xf>
    <xf numFmtId="0" fontId="8" fillId="8" borderId="0" applyAlignment="1" pivotButton="0" quotePrefix="0" xfId="5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11" fillId="9" borderId="18" applyAlignment="1" pivotButton="0" quotePrefix="0" xfId="50">
      <alignment vertical="center" wrapText="1"/>
    </xf>
    <xf numFmtId="0" fontId="11" fillId="9" borderId="19" applyAlignment="1" pivotButton="0" quotePrefix="0" xfId="50">
      <alignment vertical="center" wrapText="1"/>
    </xf>
    <xf numFmtId="0" fontId="11" fillId="9" borderId="19" applyAlignment="1" pivotButton="0" quotePrefix="0" xfId="0">
      <alignment vertical="center" wrapText="1"/>
    </xf>
    <xf numFmtId="0" fontId="11" fillId="9" borderId="19" applyAlignment="1" pivotButton="0" quotePrefix="0" xfId="50">
      <alignment horizontal="center" vertical="center" wrapText="1"/>
    </xf>
    <xf numFmtId="0" fontId="11" fillId="9" borderId="20" applyAlignment="1" pivotButton="0" quotePrefix="0" xfId="50">
      <alignment vertical="center" wrapText="1"/>
    </xf>
    <xf numFmtId="0" fontId="11" fillId="8" borderId="1" applyAlignment="1" pivotButton="0" quotePrefix="0" xfId="50">
      <alignment horizontal="center" vertical="center" wrapText="1"/>
    </xf>
    <xf numFmtId="0" fontId="11" fillId="0" borderId="1" applyAlignment="1" pivotButton="0" quotePrefix="0" xfId="50">
      <alignment horizontal="center" vertical="center" wrapText="1"/>
    </xf>
    <xf numFmtId="0" fontId="11" fillId="8" borderId="1" applyAlignment="1" pivotButton="0" quotePrefix="0" xfId="5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50">
      <alignment horizontal="center" vertical="center" wrapText="1"/>
    </xf>
    <xf numFmtId="0" fontId="5" fillId="8" borderId="1" applyAlignment="1" pivotButton="0" quotePrefix="0" xfId="50">
      <alignment horizontal="center" vertical="center" wrapText="1"/>
    </xf>
    <xf numFmtId="0" fontId="5" fillId="0" borderId="1" applyAlignment="1" pivotButton="0" quotePrefix="0" xfId="50">
      <alignment horizontal="center" vertical="center" wrapText="1"/>
    </xf>
    <xf numFmtId="0" fontId="5" fillId="0" borderId="1" applyAlignment="1" pivotButton="0" quotePrefix="0" xfId="49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5" fillId="0" borderId="23" applyAlignment="1" pivotButton="0" quotePrefix="0" xfId="0">
      <alignment vertical="center" wrapText="1"/>
    </xf>
    <xf numFmtId="0" fontId="5" fillId="8" borderId="2" applyAlignment="1" pivotButton="0" quotePrefix="0" xfId="50">
      <alignment horizontal="center" vertical="center" wrapText="1"/>
    </xf>
    <xf numFmtId="0" fontId="5" fillId="0" borderId="2" applyAlignment="1" pivotButton="0" quotePrefix="0" xfId="50">
      <alignment horizontal="center" vertical="center" wrapText="1"/>
    </xf>
    <xf numFmtId="0" fontId="5" fillId="0" borderId="24" applyAlignment="1" pivotButton="0" quotePrefix="0" xfId="0">
      <alignment vertical="center" wrapText="1"/>
    </xf>
    <xf numFmtId="0" fontId="8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readingOrder="1"/>
    </xf>
    <xf numFmtId="0" fontId="0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_中国电信软件开发类项目后评估_功能点统计-模版" xfId="50"/>
    <cellStyle name="常规_Fast Funtion Point Estimation Form" xfId="5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admin</author>
    <author>coolcoolhua</author>
  </authors>
  <commentList>
    <comment ref="H2" authorId="0" shapeId="0">
      <text>
        <t>admin:
修改功能点的复杂度不能超过基准值60%.</t>
      </text>
    </comment>
    <comment ref="I2" authorId="1" shapeId="0">
      <text>
        <t>不可编辑</t>
      </text>
    </comment>
    <comment ref="L2" authorId="1" shapeId="0">
      <text>
        <t>有公式，不要编辑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Downloads\&#22823;&#23637;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&#24037;&#20316;&#36164;&#26009;\&#24037;&#20316;&#39033;&#30446;\2007\&#38376;&#25143;&#32593;&#31449;&#22235;&#26399;&#25193;&#23481;&#24037;&#31243;\&#21487;&#30740;\&#27719;&#25253;\&#21487;&#30740;&#30456;&#20851;&#34920;&#26684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大展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进度安排"/>
      <sheetName val="投资估算"/>
      <sheetName val="设备配置—现状"/>
      <sheetName val="功能结构-现状"/>
      <sheetName val="业务运营-现状"/>
      <sheetName val="功能结构－目标"/>
      <sheetName val="建设内容"/>
      <sheetName val="主机估算基础"/>
      <sheetName val="用户数"/>
      <sheetName val="web服务器"/>
      <sheetName val="中间件服务器"/>
      <sheetName val="数据库服务器"/>
      <sheetName val="服务器小结"/>
      <sheetName val="存储"/>
      <sheetName val="备份"/>
      <sheetName val="带宽"/>
      <sheetName val="短信_带宽"/>
      <sheetName val="TD_BOSS"/>
      <sheetName val="设备耗电"/>
      <sheetName val="开发估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zoomScale="130" zoomScaleNormal="130" workbookViewId="0">
      <selection activeCell="M3" sqref="M3"/>
    </sheetView>
  </sheetViews>
  <sheetFormatPr baseColWidth="8" defaultColWidth="9.01801801801802" defaultRowHeight="12.4"/>
  <cols>
    <col width="6.40540540540541" customWidth="1" style="87" min="1" max="1"/>
    <col width="11.6216216216216" customWidth="1" style="87" min="2" max="2"/>
    <col width="14.5315315315315" customWidth="1" style="87" min="3" max="3"/>
    <col width="31.2072072072072" customWidth="1" style="88" min="4" max="4"/>
    <col width="9.01801801801802" customWidth="1" style="87" min="5" max="5"/>
    <col width="25.7297297297297" customWidth="1" style="89" min="6" max="6"/>
    <col width="39.5045045045045" customWidth="1" style="88" min="7" max="7"/>
    <col width="9.01801801801802" customWidth="1" style="87" min="8" max="13"/>
    <col width="17.8468468468468" customWidth="1" style="88" min="14" max="14"/>
    <col width="9.01801801801802" customWidth="1" style="88" min="15" max="16384"/>
  </cols>
  <sheetData>
    <row r="1" ht="12.45" customFormat="1" customHeight="1" s="86">
      <c r="A1" s="90" t="n"/>
      <c r="B1" s="91" t="n"/>
      <c r="C1" s="91" t="n"/>
      <c r="D1" s="91" t="n"/>
      <c r="E1" s="91" t="n"/>
      <c r="F1" s="92" t="n"/>
      <c r="G1" s="91" t="n"/>
      <c r="H1" s="91" t="inlineStr">
        <is>
          <t>合计：</t>
        </is>
      </c>
      <c r="I1" s="93">
        <f>SUM(I3:I114)</f>
        <v/>
      </c>
      <c r="J1" s="93">
        <f>SUM(J3:J114)</f>
        <v/>
      </c>
      <c r="K1" s="93">
        <f>SUM(K3:K114)</f>
        <v/>
      </c>
      <c r="L1" s="93">
        <f>SUM(L3:L114)</f>
        <v/>
      </c>
      <c r="M1" s="93">
        <f>SUM(M3:M114)</f>
        <v/>
      </c>
      <c r="N1" s="94" t="n"/>
    </row>
    <row r="2" ht="37.3" customFormat="1" customHeight="1" s="86">
      <c r="A2" s="95" t="inlineStr">
        <is>
          <t>序号</t>
        </is>
      </c>
      <c r="B2" s="95" t="inlineStr">
        <is>
          <t>子系统(模块)</t>
        </is>
      </c>
      <c r="C2" s="96" t="inlineStr">
        <is>
          <t>资产标识</t>
        </is>
      </c>
      <c r="D2" s="97" t="inlineStr">
        <is>
          <t>新增/修改功能点</t>
        </is>
      </c>
      <c r="E2" s="95" t="inlineStr">
        <is>
          <t>类型</t>
        </is>
      </c>
      <c r="F2" s="98" t="inlineStr">
        <is>
          <t>计算依据归类</t>
        </is>
      </c>
      <c r="G2" s="95" t="inlineStr">
        <is>
          <t>计算依据说明，记录关键信息如：事件流、业务规则、业务数据、非功能性规约、表、服务、接口等内容</t>
        </is>
      </c>
      <c r="H2" s="96" t="inlineStr">
        <is>
          <t>变更状态</t>
        </is>
      </c>
      <c r="I2" s="99" t="inlineStr">
        <is>
          <t>基准值</t>
        </is>
      </c>
      <c r="J2" s="96" t="inlineStr">
        <is>
          <t>调整值</t>
        </is>
      </c>
      <c r="K2" s="96" t="inlineStr">
        <is>
          <t>要素数量</t>
        </is>
      </c>
      <c r="L2" s="99" t="inlineStr">
        <is>
          <t>FPA工作量</t>
        </is>
      </c>
      <c r="M2" s="96" t="inlineStr">
        <is>
          <t>核减后工作量</t>
        </is>
      </c>
      <c r="N2" s="95" t="inlineStr">
        <is>
          <t>备注说明</t>
        </is>
      </c>
    </row>
    <row r="3" ht="111.85" customHeight="1" s="52">
      <c r="A3" s="103" t="n">
        <v>1</v>
      </c>
      <c r="B3" s="103" t="inlineStr">
        <is>
          <t>和乐业</t>
        </is>
      </c>
      <c r="C3" s="103" t="inlineStr">
        <is>
          <t>YXGJ-CZHY-01</t>
        </is>
      </c>
      <c r="D3" s="103" t="inlineStr">
        <is>
          <t>【地市后台】垂直行业营销-垂直行业管理-垂直行业管理-添加垂直行业-界面开发</t>
        </is>
      </c>
      <c r="E3" s="103" t="inlineStr">
        <is>
          <t>EI</t>
        </is>
      </c>
      <c r="F3" s="104" t="inlineStr"/>
      <c r="G3" s="104" t="inlineStr">
        <is>
          <t>【地市后台】垂直行业营销-垂直行业管理-垂直行业管理-添加垂直行业-界面开发，具体如下
： 1、</t>
        </is>
      </c>
      <c r="H3" s="103" t="inlineStr">
        <is>
          <t>新增</t>
        </is>
      </c>
      <c r="I3" s="105">
        <f>IF(E3="EI",4,IF(E3="EO",5,IF(E3="EQ",4,IF(E3="ILF",10,IF(E3="EIF",7,0)))))*IF(H3="修改",0.6,1)</f>
        <v/>
      </c>
      <c r="J3" s="106" t="n">
        <v>2</v>
      </c>
      <c r="K3" s="106" t="n">
        <v>1</v>
      </c>
      <c r="L3" s="105">
        <f>J3*K3</f>
        <v/>
      </c>
      <c r="M3" s="107" t="inlineStr"/>
      <c r="N3" t="inlineStr"/>
    </row>
    <row r="4" ht="49.7" customHeight="1" s="52">
      <c r="A4" s="103" t="n">
        <v>2</v>
      </c>
      <c r="B4" s="103" t="inlineStr">
        <is>
          <t>和乐业</t>
        </is>
      </c>
      <c r="C4" s="103" t="inlineStr">
        <is>
          <t>YXGJ-CZHY-01</t>
        </is>
      </c>
      <c r="D4" s="103" t="inlineStr">
        <is>
          <t>【地市后台】垂直行业营销-垂直行业管理-垂直行业管理-添加垂直行业-接口开发</t>
        </is>
      </c>
      <c r="E4" s="103" t="inlineStr">
        <is>
          <t>ILF</t>
        </is>
      </c>
      <c r="F4" s="104" t="inlineStr"/>
      <c r="G4" s="104" t="inlineStr">
        <is>
          <t>【地市后台】垂直行业营销-垂直行业管理-垂直行业管理-添加垂直行业-接口开发，具体如下
： 1、</t>
        </is>
      </c>
      <c r="H4" s="103" t="inlineStr">
        <is>
          <t>新增</t>
        </is>
      </c>
      <c r="I4" s="105">
        <f>IF(E4="EI",4,IF(E4="EO",5,IF(E4="EQ",4,IF(E4="ILF",10,IF(E4="EIF",7,0)))))*IF(H4="修改",0.6,1)</f>
        <v/>
      </c>
      <c r="J4" s="106" t="n">
        <v>1</v>
      </c>
      <c r="K4" s="106" t="n">
        <v>1</v>
      </c>
      <c r="L4" s="105">
        <f>J4*K4</f>
        <v/>
      </c>
      <c r="M4" s="107" t="inlineStr"/>
      <c r="N4" t="inlineStr"/>
    </row>
    <row r="5" ht="87" customHeight="1" s="52">
      <c r="A5" s="103" t="n">
        <v>3</v>
      </c>
      <c r="B5" s="103" t="inlineStr">
        <is>
          <t>和乐业</t>
        </is>
      </c>
      <c r="C5" s="103" t="inlineStr">
        <is>
          <t>YXGJ-CZHY-01</t>
        </is>
      </c>
      <c r="D5" s="103" t="inlineStr">
        <is>
          <t>【地市后台】垂直行业营销-垂直行业管理-垂直行业管理-垂直行业列表数据查询-界面开发</t>
        </is>
      </c>
      <c r="E5" s="103" t="inlineStr">
        <is>
          <t>EI</t>
        </is>
      </c>
      <c r="F5" s="104" t="inlineStr"/>
      <c r="G5" s="104" t="inlineStr">
        <is>
          <t>【地市后台】垂直行业营销-垂直行业管理-垂直行业管理-垂直行业列表数据查询-界面开发，具体如下
： 1、</t>
        </is>
      </c>
      <c r="H5" s="103" t="inlineStr">
        <is>
          <t>新增</t>
        </is>
      </c>
      <c r="I5" s="105">
        <f>IF(E5="EI",4,IF(E5="EO",5,IF(E5="EQ",4,IF(E5="ILF",10,IF(E5="EIF",7,0)))))*IF(H5="修改",0.6,1)</f>
        <v/>
      </c>
      <c r="J5" s="106" t="n">
        <v>2</v>
      </c>
      <c r="K5" s="106" t="n">
        <v>1</v>
      </c>
      <c r="L5" s="105">
        <f>J5*K5</f>
        <v/>
      </c>
      <c r="M5" s="107" t="inlineStr"/>
      <c r="N5" t="inlineStr"/>
    </row>
    <row r="6" ht="62.15" customHeight="1" s="52">
      <c r="A6" s="103" t="n">
        <v>4</v>
      </c>
      <c r="B6" s="103" t="inlineStr">
        <is>
          <t>和乐业</t>
        </is>
      </c>
      <c r="C6" s="103" t="inlineStr">
        <is>
          <t>YXGJ-CZHY-01</t>
        </is>
      </c>
      <c r="D6" s="103" t="inlineStr">
        <is>
          <t>【地市后台】垂直行业营销-垂直行业管理-垂直行业管理-垂直行业列表数据查询-接口开发</t>
        </is>
      </c>
      <c r="E6" s="103" t="inlineStr">
        <is>
          <t>ILF</t>
        </is>
      </c>
      <c r="F6" s="104" t="inlineStr"/>
      <c r="G6" s="104" t="inlineStr">
        <is>
          <t>【地市后台】垂直行业营销-垂直行业管理-垂直行业管理-垂直行业列表数据查询-接口开发，具体如下
： 1、</t>
        </is>
      </c>
      <c r="H6" s="103" t="inlineStr">
        <is>
          <t>新增</t>
        </is>
      </c>
      <c r="I6" s="105">
        <f>IF(E6="EI",4,IF(E6="EO",5,IF(E6="EQ",4,IF(E6="ILF",10,IF(E6="EIF",7,0)))))*IF(H6="修改",0.6,1)</f>
        <v/>
      </c>
      <c r="J6" s="106" t="n">
        <v>1</v>
      </c>
      <c r="K6" s="106" t="n">
        <v>1</v>
      </c>
      <c r="L6" s="105">
        <f>J6*K6</f>
        <v/>
      </c>
      <c r="M6" s="107" t="inlineStr"/>
      <c r="N6" t="inlineStr"/>
    </row>
    <row r="7" ht="87" customHeight="1" s="52">
      <c r="A7" s="103" t="n">
        <v>5</v>
      </c>
      <c r="B7" s="103" t="inlineStr">
        <is>
          <t>和乐业</t>
        </is>
      </c>
      <c r="C7" s="103" t="inlineStr">
        <is>
          <t>YXGJ-CZHY-01</t>
        </is>
      </c>
      <c r="D7" s="103" t="inlineStr">
        <is>
          <t>【地市后台】垂直行业营销-垂直行业管理-垂直行业管理-编辑垂直行业-界面开发</t>
        </is>
      </c>
      <c r="E7" s="103" t="inlineStr">
        <is>
          <t>EI</t>
        </is>
      </c>
      <c r="F7" s="104" t="inlineStr"/>
      <c r="G7" s="104" t="inlineStr">
        <is>
          <t>【地市后台】垂直行业营销-垂直行业管理-垂直行业管理-编辑垂直行业-界面开发，具体如下
： 1、</t>
        </is>
      </c>
      <c r="H7" s="103" t="inlineStr">
        <is>
          <t>新增</t>
        </is>
      </c>
      <c r="I7" s="105">
        <f>IF(E7="EI",4,IF(E7="EO",5,IF(E7="EQ",4,IF(E7="ILF",10,IF(E7="EIF",7,0)))))*IF(H7="修改",0.6,1)</f>
        <v/>
      </c>
      <c r="J7" s="106" t="n">
        <v>2</v>
      </c>
      <c r="K7" s="106" t="n">
        <v>1</v>
      </c>
      <c r="L7" s="105">
        <f>J7*K7</f>
        <v/>
      </c>
      <c r="M7" s="107" t="inlineStr"/>
      <c r="N7" t="inlineStr"/>
    </row>
    <row r="8" ht="49.7" customHeight="1" s="52">
      <c r="A8" s="103" t="n">
        <v>6</v>
      </c>
      <c r="B8" s="103" t="inlineStr">
        <is>
          <t>和乐业</t>
        </is>
      </c>
      <c r="C8" s="103" t="inlineStr">
        <is>
          <t>YXGJ-CZHY-01</t>
        </is>
      </c>
      <c r="D8" s="103" t="inlineStr">
        <is>
          <t>【地市后台】垂直行业营销-垂直行业管理-垂直行业管理-编辑垂直行业-接口开发</t>
        </is>
      </c>
      <c r="E8" s="103" t="inlineStr">
        <is>
          <t>ILF</t>
        </is>
      </c>
      <c r="F8" s="104" t="inlineStr"/>
      <c r="G8" s="104" t="inlineStr">
        <is>
          <t>【地市后台】垂直行业营销-垂直行业管理-垂直行业管理-编辑垂直行业-接口开发，具体如下
： 1、</t>
        </is>
      </c>
      <c r="H8" s="103" t="inlineStr">
        <is>
          <t>新增</t>
        </is>
      </c>
      <c r="I8" s="105">
        <f>IF(E8="EI",4,IF(E8="EO",5,IF(E8="EQ",4,IF(E8="ILF",10,IF(E8="EIF",7,0)))))*IF(H8="修改",0.6,1)</f>
        <v/>
      </c>
      <c r="J8" s="106" t="n">
        <v>1</v>
      </c>
      <c r="K8" s="106" t="n">
        <v>1</v>
      </c>
      <c r="L8" s="105">
        <f>J8*K8</f>
        <v/>
      </c>
      <c r="M8" s="107" t="inlineStr"/>
      <c r="N8" t="inlineStr"/>
    </row>
    <row r="9" ht="74.55" customHeight="1" s="52">
      <c r="A9" s="103" t="n">
        <v>7</v>
      </c>
      <c r="B9" s="103" t="inlineStr">
        <is>
          <t>和乐业</t>
        </is>
      </c>
      <c r="C9" s="103" t="inlineStr">
        <is>
          <t>YXGJ-CZHY-01</t>
        </is>
      </c>
      <c r="D9" s="103" t="inlineStr">
        <is>
          <t>【地市后台】垂直行业营销-垂直行业管理-垂直行业管理-查询垂直行业数据-界面开发</t>
        </is>
      </c>
      <c r="E9" s="103" t="inlineStr">
        <is>
          <t>EI</t>
        </is>
      </c>
      <c r="F9" s="104" t="inlineStr"/>
      <c r="G9" s="104" t="inlineStr">
        <is>
          <t>【地市后台】垂直行业营销-垂直行业管理-垂直行业管理-查询垂直行业数据-界面开发，具体如下
： 1、</t>
        </is>
      </c>
      <c r="H9" s="103" t="inlineStr">
        <is>
          <t>新增</t>
        </is>
      </c>
      <c r="I9" s="105">
        <f>IF(E9="EI",4,IF(E9="EO",5,IF(E9="EQ",4,IF(E9="ILF",10,IF(E9="EIF",7,0)))))*IF(H9="修改",0.6,1)</f>
        <v/>
      </c>
      <c r="J9" s="106" t="n">
        <v>2</v>
      </c>
      <c r="K9" s="106" t="n">
        <v>1</v>
      </c>
      <c r="L9" s="105">
        <f>J9*K9</f>
        <v/>
      </c>
      <c r="M9" s="107" t="inlineStr"/>
      <c r="N9" t="inlineStr"/>
    </row>
    <row r="10" ht="62.15" customHeight="1" s="52">
      <c r="A10" s="103" t="n">
        <v>8</v>
      </c>
      <c r="B10" s="103" t="inlineStr">
        <is>
          <t>和乐业</t>
        </is>
      </c>
      <c r="C10" s="103" t="inlineStr">
        <is>
          <t>YXGJ-CZHY-01</t>
        </is>
      </c>
      <c r="D10" s="103" t="inlineStr">
        <is>
          <t>【地市后台】垂直行业营销-垂直行业管理-垂直行业管理-查询垂直行业数据-接口开发</t>
        </is>
      </c>
      <c r="E10" s="103" t="inlineStr">
        <is>
          <t>ILF</t>
        </is>
      </c>
      <c r="F10" s="104" t="inlineStr"/>
      <c r="G10" s="104" t="inlineStr">
        <is>
          <t>【地市后台】垂直行业营销-垂直行业管理-垂直行业管理-查询垂直行业数据-接口开发，具体如下
： 1、</t>
        </is>
      </c>
      <c r="H10" s="103" t="inlineStr">
        <is>
          <t>新增</t>
        </is>
      </c>
      <c r="I10" s="105">
        <f>IF(E10="EI",4,IF(E10="EO",5,IF(E10="EQ",4,IF(E10="ILF",10,IF(E10="EIF",7,0)))))*IF(H10="修改",0.6,1)</f>
        <v/>
      </c>
      <c r="J10" s="106" t="n">
        <v>1</v>
      </c>
      <c r="K10" s="106" t="n">
        <v>1</v>
      </c>
      <c r="L10" s="105">
        <f>J10*K10</f>
        <v/>
      </c>
      <c r="M10" s="107" t="inlineStr"/>
      <c r="N10" t="inlineStr"/>
    </row>
    <row r="11" ht="111.85" customHeight="1" s="52">
      <c r="A11" s="103" t="n">
        <v>9</v>
      </c>
      <c r="B11" s="103" t="inlineStr">
        <is>
          <t>和乐业</t>
        </is>
      </c>
      <c r="C11" s="103" t="inlineStr">
        <is>
          <t>YXGJ-CZHY-01</t>
        </is>
      </c>
      <c r="D11" s="103" t="inlineStr">
        <is>
          <t>【地市后台】垂直行业营销-垂直行业管理-垂直行业管理-删除垂直行业-界面开发</t>
        </is>
      </c>
      <c r="E11" s="103" t="inlineStr">
        <is>
          <t>EI</t>
        </is>
      </c>
      <c r="F11" s="104" t="inlineStr"/>
      <c r="G11" s="104" t="inlineStr">
        <is>
          <t>【地市后台】垂直行业营销-垂直行业管理-垂直行业管理-删除垂直行业-界面开发，具体如下
： 1、</t>
        </is>
      </c>
      <c r="H11" s="103" t="inlineStr">
        <is>
          <t>新增</t>
        </is>
      </c>
      <c r="I11" s="105">
        <f>IF(E11="EI",4,IF(E11="EO",5,IF(E11="EQ",4,IF(E11="ILF",10,IF(E11="EIF",7,0)))))*IF(H11="修改",0.6,1)</f>
        <v/>
      </c>
      <c r="J11" s="106" t="n">
        <v>2</v>
      </c>
      <c r="K11" s="106" t="n">
        <v>1</v>
      </c>
      <c r="L11" s="105">
        <f>J11*K11</f>
        <v/>
      </c>
      <c r="M11" s="107" t="inlineStr"/>
      <c r="N11" t="inlineStr"/>
    </row>
    <row r="12" ht="62.15" customHeight="1" s="52">
      <c r="A12" s="103" t="n">
        <v>10</v>
      </c>
      <c r="B12" s="103" t="inlineStr">
        <is>
          <t>和乐业</t>
        </is>
      </c>
      <c r="C12" s="103" t="inlineStr">
        <is>
          <t>YXGJ-CZHY-01</t>
        </is>
      </c>
      <c r="D12" s="103" t="inlineStr">
        <is>
          <t>【地市后台】垂直行业营销-垂直行业管理-垂直行业管理-删除垂直行业-接口开发</t>
        </is>
      </c>
      <c r="E12" s="103" t="inlineStr">
        <is>
          <t>ILF</t>
        </is>
      </c>
      <c r="F12" s="104" t="inlineStr"/>
      <c r="G12" s="104" t="inlineStr">
        <is>
          <t>【地市后台】垂直行业营销-垂直行业管理-垂直行业管理-删除垂直行业-接口开发，具体如下
： 1、</t>
        </is>
      </c>
      <c r="H12" s="103" t="inlineStr">
        <is>
          <t>新增</t>
        </is>
      </c>
      <c r="I12" s="105">
        <f>IF(E12="EI",4,IF(E12="EO",5,IF(E12="EQ",4,IF(E12="ILF",10,IF(E12="EIF",7,0)))))*IF(H12="修改",0.6,1)</f>
        <v/>
      </c>
      <c r="J12" s="106" t="n">
        <v>1</v>
      </c>
      <c r="K12" s="106" t="n">
        <v>1</v>
      </c>
      <c r="L12" s="105">
        <f>J12*K12</f>
        <v/>
      </c>
      <c r="M12" s="107" t="inlineStr"/>
      <c r="N12" t="inlineStr"/>
    </row>
    <row r="13" ht="111.85" customHeight="1" s="52">
      <c r="A13" s="103" t="n">
        <v>11</v>
      </c>
      <c r="B13" s="103" t="inlineStr">
        <is>
          <t>和乐业</t>
        </is>
      </c>
      <c r="C13" s="103" t="inlineStr">
        <is>
          <t>YXGJ-CZHY-01</t>
        </is>
      </c>
      <c r="D13" s="103" t="inlineStr">
        <is>
          <t>【地市后台】垂直行业营销-垂直行业管理-垂直行业管理-新增垂直行业管理员-界面开发</t>
        </is>
      </c>
      <c r="E13" s="103" t="inlineStr">
        <is>
          <t>EI</t>
        </is>
      </c>
      <c r="F13" s="104" t="inlineStr"/>
      <c r="G13" s="104" t="inlineStr">
        <is>
          <t>【地市后台】垂直行业营销-垂直行业管理-垂直行业管理-新增垂直行业管理员-界面开发，具体如下
： 1、</t>
        </is>
      </c>
      <c r="H13" s="103" t="inlineStr">
        <is>
          <t>新增</t>
        </is>
      </c>
      <c r="I13" s="105">
        <f>IF(E13="EI",4,IF(E13="EO",5,IF(E13="EQ",4,IF(E13="ILF",10,IF(E13="EIF",7,0)))))*IF(H13="修改",0.6,1)</f>
        <v/>
      </c>
      <c r="J13" s="106" t="n">
        <v>2</v>
      </c>
      <c r="K13" s="106" t="n">
        <v>1</v>
      </c>
      <c r="L13" s="105">
        <f>J13*K13</f>
        <v/>
      </c>
      <c r="M13" s="107" t="inlineStr"/>
      <c r="N13" t="inlineStr"/>
    </row>
    <row r="14" ht="62.15" customHeight="1" s="52">
      <c r="A14" s="103" t="n">
        <v>12</v>
      </c>
      <c r="B14" s="103" t="inlineStr">
        <is>
          <t>和乐业</t>
        </is>
      </c>
      <c r="C14" s="103" t="inlineStr">
        <is>
          <t>YXGJ-CZHY-01</t>
        </is>
      </c>
      <c r="D14" s="103" t="inlineStr">
        <is>
          <t>【地市后台】垂直行业营销-垂直行业管理-垂直行业管理-新增垂直行业管理员-接口开发</t>
        </is>
      </c>
      <c r="E14" s="103" t="inlineStr">
        <is>
          <t>ILF</t>
        </is>
      </c>
      <c r="F14" s="104" t="inlineStr"/>
      <c r="G14" s="104" t="inlineStr">
        <is>
          <t>【地市后台】垂直行业营销-垂直行业管理-垂直行业管理-新增垂直行业管理员-接口开发，具体如下
： 1、</t>
        </is>
      </c>
      <c r="H14" s="103" t="inlineStr">
        <is>
          <t>新增</t>
        </is>
      </c>
      <c r="I14" s="105">
        <f>IF(E14="EI",4,IF(E14="EO",5,IF(E14="EQ",4,IF(E14="ILF",10,IF(E14="EIF",7,0)))))*IF(H14="修改",0.6,1)</f>
        <v/>
      </c>
      <c r="J14" s="106" t="n">
        <v>1</v>
      </c>
      <c r="K14" s="106" t="n">
        <v>1</v>
      </c>
      <c r="L14" s="105">
        <f>J14*K14</f>
        <v/>
      </c>
      <c r="M14" s="107" t="inlineStr"/>
      <c r="N14" t="inlineStr"/>
    </row>
    <row r="15" ht="99.45" customHeight="1" s="52">
      <c r="A15" s="103" t="n">
        <v>13</v>
      </c>
      <c r="B15" s="103" t="inlineStr">
        <is>
          <t>和乐业</t>
        </is>
      </c>
      <c r="C15" s="103" t="inlineStr">
        <is>
          <t>YXGJ-CZHY-01</t>
        </is>
      </c>
      <c r="D15" s="103" t="inlineStr">
        <is>
          <t>【地市后台】垂直行业营销-垂直行业管理-垂直行业管理-删除垂直行业管理员-界面开发</t>
        </is>
      </c>
      <c r="E15" s="103" t="inlineStr">
        <is>
          <t>EI</t>
        </is>
      </c>
      <c r="F15" s="104" t="inlineStr"/>
      <c r="G15" s="104" t="inlineStr">
        <is>
          <t>【地市后台】垂直行业营销-垂直行业管理-垂直行业管理-删除垂直行业管理员-界面开发，具体如下
： 1、</t>
        </is>
      </c>
      <c r="H15" s="103" t="inlineStr">
        <is>
          <t>新增</t>
        </is>
      </c>
      <c r="I15" s="105">
        <f>IF(E15="EI",4,IF(E15="EO",5,IF(E15="EQ",4,IF(E15="ILF",10,IF(E15="EIF",7,0)))))*IF(H15="修改",0.6,1)</f>
        <v/>
      </c>
      <c r="J15" s="106" t="n">
        <v>2</v>
      </c>
      <c r="K15" s="106" t="n">
        <v>1</v>
      </c>
      <c r="L15" s="105">
        <f>J15*K15</f>
        <v/>
      </c>
      <c r="M15" s="107" t="inlineStr"/>
      <c r="N15" t="inlineStr"/>
    </row>
    <row r="16" ht="49.7" customHeight="1" s="52">
      <c r="A16" s="103" t="n">
        <v>14</v>
      </c>
      <c r="B16" s="103" t="inlineStr">
        <is>
          <t>和乐业</t>
        </is>
      </c>
      <c r="C16" s="103" t="inlineStr">
        <is>
          <t>YXGJ-CZHY-01</t>
        </is>
      </c>
      <c r="D16" s="103" t="inlineStr">
        <is>
          <t>【地市后台】垂直行业营销-垂直行业管理-垂直行业管理-删除垂直行业管理员-接口开发</t>
        </is>
      </c>
      <c r="E16" s="103" t="inlineStr">
        <is>
          <t>ILF</t>
        </is>
      </c>
      <c r="F16" s="104" t="inlineStr"/>
      <c r="G16" s="104" t="inlineStr">
        <is>
          <t>【地市后台】垂直行业营销-垂直行业管理-垂直行业管理-删除垂直行业管理员-接口开发，具体如下
： 1、</t>
        </is>
      </c>
      <c r="H16" s="103" t="inlineStr">
        <is>
          <t>新增</t>
        </is>
      </c>
      <c r="I16" s="105">
        <f>IF(E16="EI",4,IF(E16="EO",5,IF(E16="EQ",4,IF(E16="ILF",10,IF(E16="EIF",7,0)))))*IF(H16="修改",0.6,1)</f>
        <v/>
      </c>
      <c r="J16" s="106" t="n">
        <v>1</v>
      </c>
      <c r="K16" s="106" t="n">
        <v>1</v>
      </c>
      <c r="L16" s="105">
        <f>J16*K16</f>
        <v/>
      </c>
      <c r="M16" s="107" t="inlineStr"/>
      <c r="N16" t="inlineStr"/>
    </row>
    <row r="17" ht="62.15" customHeight="1" s="52">
      <c r="A17" s="103" t="n">
        <v>15</v>
      </c>
      <c r="B17" s="103" t="inlineStr">
        <is>
          <t>和乐业</t>
        </is>
      </c>
      <c r="C17" s="103" t="inlineStr">
        <is>
          <t>YXGJ-CZHY-01</t>
        </is>
      </c>
      <c r="D17" s="103" t="inlineStr">
        <is>
          <t>【地市后台】垂直行业营销-垂直行业管理-合伙商管理-搜索合作商-界面开发</t>
        </is>
      </c>
      <c r="E17" s="103" t="inlineStr">
        <is>
          <t>EI</t>
        </is>
      </c>
      <c r="F17" s="104" t="inlineStr"/>
      <c r="G17" s="104" t="inlineStr">
        <is>
          <t>【地市后台】垂直行业营销-垂直行业管理-合伙商管理-搜索合作商-界面开发，具体如下
： 1、</t>
        </is>
      </c>
      <c r="H17" s="103" t="inlineStr">
        <is>
          <t>新增</t>
        </is>
      </c>
      <c r="I17" s="105">
        <f>IF(E17="EI",4,IF(E17="EO",5,IF(E17="EQ",4,IF(E17="ILF",10,IF(E17="EIF",7,0)))))*IF(H17="修改",0.6,1)</f>
        <v/>
      </c>
      <c r="J17" s="106" t="n">
        <v>2</v>
      </c>
      <c r="K17" s="106" t="n">
        <v>1</v>
      </c>
      <c r="L17" s="105">
        <f>J17*K17</f>
        <v/>
      </c>
      <c r="M17" s="107" t="inlineStr"/>
      <c r="N17" t="inlineStr"/>
    </row>
    <row r="18" ht="62.15" customHeight="1" s="52">
      <c r="A18" s="103" t="n">
        <v>16</v>
      </c>
      <c r="B18" s="103" t="inlineStr">
        <is>
          <t>和乐业</t>
        </is>
      </c>
      <c r="C18" s="103" t="inlineStr">
        <is>
          <t>YXGJ-CZHY-01</t>
        </is>
      </c>
      <c r="D18" s="103" t="inlineStr">
        <is>
          <t>【地市后台】垂直行业营销-垂直行业管理-合伙商管理-搜索合作商-接口开发</t>
        </is>
      </c>
      <c r="E18" s="103" t="inlineStr">
        <is>
          <t>ILF</t>
        </is>
      </c>
      <c r="F18" s="104" t="inlineStr"/>
      <c r="G18" s="104" t="inlineStr">
        <is>
          <t>【地市后台】垂直行业营销-垂直行业管理-合伙商管理-搜索合作商-接口开发，具体如下
： 1、</t>
        </is>
      </c>
      <c r="H18" s="103" t="inlineStr">
        <is>
          <t>新增</t>
        </is>
      </c>
      <c r="I18" s="105">
        <f>IF(E18="EI",4,IF(E18="EO",5,IF(E18="EQ",4,IF(E18="ILF",10,IF(E18="EIF",7,0)))))*IF(H18="修改",0.6,1)</f>
        <v/>
      </c>
      <c r="J18" s="106" t="n">
        <v>1</v>
      </c>
      <c r="K18" s="106" t="n">
        <v>1</v>
      </c>
      <c r="L18" s="105">
        <f>J18*K18</f>
        <v/>
      </c>
      <c r="M18" s="107" t="inlineStr"/>
      <c r="N18" t="inlineStr"/>
    </row>
    <row r="19" ht="87" customHeight="1" s="52">
      <c r="A19" s="103" t="n">
        <v>17</v>
      </c>
      <c r="B19" s="103" t="inlineStr">
        <is>
          <t>和乐业</t>
        </is>
      </c>
      <c r="C19" s="103" t="inlineStr">
        <is>
          <t>YXGJ-CZHY-01</t>
        </is>
      </c>
      <c r="D19" s="103" t="inlineStr">
        <is>
          <t>【地市后台】垂直行业营销-垂直行业管理-合伙商管理-添加合作商-界面开发</t>
        </is>
      </c>
      <c r="E19" s="103" t="inlineStr">
        <is>
          <t>EI</t>
        </is>
      </c>
      <c r="F19" s="104" t="inlineStr"/>
      <c r="G19" s="104" t="inlineStr">
        <is>
          <t>【地市后台】垂直行业营销-垂直行业管理-合伙商管理-添加合作商-界面开发，具体如下
： 1、</t>
        </is>
      </c>
      <c r="H19" s="103" t="inlineStr">
        <is>
          <t>新增</t>
        </is>
      </c>
      <c r="I19" s="105">
        <f>IF(E19="EI",4,IF(E19="EO",5,IF(E19="EQ",4,IF(E19="ILF",10,IF(E19="EIF",7,0)))))*IF(H19="修改",0.6,1)</f>
        <v/>
      </c>
      <c r="J19" s="106" t="n">
        <v>2</v>
      </c>
      <c r="K19" s="106" t="n">
        <v>1</v>
      </c>
      <c r="L19" s="105">
        <f>J19*K19</f>
        <v/>
      </c>
      <c r="M19" s="107" t="inlineStr"/>
      <c r="N19" t="inlineStr"/>
    </row>
    <row r="20" ht="111.85" customHeight="1" s="52">
      <c r="A20" s="103" t="n">
        <v>18</v>
      </c>
      <c r="B20" s="103" t="inlineStr">
        <is>
          <t>和乐业</t>
        </is>
      </c>
      <c r="C20" s="103" t="inlineStr">
        <is>
          <t>YXGJ-CZHY-01</t>
        </is>
      </c>
      <c r="D20" s="103" t="inlineStr">
        <is>
          <t>【地市后台】垂直行业营销-垂直行业管理-合伙商管理-添加合作商-接口开发</t>
        </is>
      </c>
      <c r="E20" s="103" t="inlineStr">
        <is>
          <t>ILF</t>
        </is>
      </c>
      <c r="F20" s="104" t="inlineStr"/>
      <c r="G20" s="104" t="inlineStr">
        <is>
          <t>【地市后台】垂直行业营销-垂直行业管理-合伙商管理-添加合作商-接口开发，具体如下
： 1、</t>
        </is>
      </c>
      <c r="H20" s="103" t="inlineStr">
        <is>
          <t>新增</t>
        </is>
      </c>
      <c r="I20" s="105">
        <f>IF(E20="EI",4,IF(E20="EO",5,IF(E20="EQ",4,IF(E20="ILF",10,IF(E20="EIF",7,0)))))*IF(H20="修改",0.6,1)</f>
        <v/>
      </c>
      <c r="J20" s="106" t="n">
        <v>1</v>
      </c>
      <c r="K20" s="106" t="n">
        <v>1</v>
      </c>
      <c r="L20" s="105">
        <f>J20*K20</f>
        <v/>
      </c>
      <c r="M20" s="107" t="inlineStr"/>
      <c r="N20" t="inlineStr"/>
    </row>
    <row r="21" ht="62.15" customHeight="1" s="52">
      <c r="A21" s="103" t="n">
        <v>19</v>
      </c>
      <c r="B21" s="103" t="inlineStr">
        <is>
          <t>和乐业</t>
        </is>
      </c>
      <c r="C21" s="103" t="inlineStr">
        <is>
          <t>YXGJ-CZHY-01</t>
        </is>
      </c>
      <c r="D21" s="103" t="inlineStr">
        <is>
          <t>【地市后台】垂直行业营销-垂直行业管理-合伙商管理-编辑合作商-界面开发</t>
        </is>
      </c>
      <c r="E21" s="103" t="inlineStr">
        <is>
          <t>EI</t>
        </is>
      </c>
      <c r="F21" s="104" t="inlineStr"/>
      <c r="G21" s="104" t="inlineStr">
        <is>
          <t>【地市后台】垂直行业营销-垂直行业管理-合伙商管理-编辑合作商-界面开发，具体如下
： 1、</t>
        </is>
      </c>
      <c r="H21" s="103" t="inlineStr">
        <is>
          <t>新增</t>
        </is>
      </c>
      <c r="I21" s="105">
        <f>IF(E21="EI",4,IF(E21="EO",5,IF(E21="EQ",4,IF(E21="ILF",10,IF(E21="EIF",7,0)))))*IF(H21="修改",0.6,1)</f>
        <v/>
      </c>
      <c r="J21" s="106" t="n">
        <v>2</v>
      </c>
      <c r="K21" s="106" t="n">
        <v>1</v>
      </c>
      <c r="L21" s="105">
        <f>J21*K21</f>
        <v/>
      </c>
      <c r="M21" s="107" t="inlineStr"/>
      <c r="N21" t="inlineStr"/>
    </row>
    <row r="22" ht="87" customHeight="1" s="52">
      <c r="A22" s="103" t="n">
        <v>20</v>
      </c>
      <c r="B22" s="103" t="inlineStr">
        <is>
          <t>和乐业</t>
        </is>
      </c>
      <c r="C22" s="103" t="inlineStr">
        <is>
          <t>YXGJ-CZHY-01</t>
        </is>
      </c>
      <c r="D22" s="103" t="inlineStr">
        <is>
          <t>【地市后台】垂直行业营销-垂直行业管理-合伙商管理-编辑合作商-接口开发</t>
        </is>
      </c>
      <c r="E22" s="103" t="inlineStr">
        <is>
          <t>ILF</t>
        </is>
      </c>
      <c r="F22" s="104" t="inlineStr"/>
      <c r="G22" s="104" t="inlineStr">
        <is>
          <t>【地市后台】垂直行业营销-垂直行业管理-合伙商管理-编辑合作商-接口开发，具体如下
： 1、</t>
        </is>
      </c>
      <c r="H22" s="103" t="inlineStr">
        <is>
          <t>新增</t>
        </is>
      </c>
      <c r="I22" s="105">
        <f>IF(E22="EI",4,IF(E22="EO",5,IF(E22="EQ",4,IF(E22="ILF",10,IF(E22="EIF",7,0)))))*IF(H22="修改",0.6,1)</f>
        <v/>
      </c>
      <c r="J22" s="106" t="n">
        <v>1</v>
      </c>
      <c r="K22" s="106" t="n">
        <v>1</v>
      </c>
      <c r="L22" s="105">
        <f>J22*K22</f>
        <v/>
      </c>
      <c r="M22" s="107" t="inlineStr"/>
      <c r="N22" t="inlineStr"/>
    </row>
    <row r="23" ht="62.15" customHeight="1" s="52">
      <c r="A23" s="103" t="n">
        <v>21</v>
      </c>
      <c r="B23" s="103" t="inlineStr">
        <is>
          <t>和乐业</t>
        </is>
      </c>
      <c r="C23" s="103" t="inlineStr">
        <is>
          <t>YXGJ-CZHY-01</t>
        </is>
      </c>
      <c r="D23" s="103" t="inlineStr">
        <is>
          <t>【地市后台】垂直行业营销-垂直行业管理-合伙商管理-删除合伙商-界面开发</t>
        </is>
      </c>
      <c r="E23" s="103" t="inlineStr">
        <is>
          <t>EI</t>
        </is>
      </c>
      <c r="F23" s="104" t="inlineStr"/>
      <c r="G23" s="104" t="inlineStr">
        <is>
          <t>【地市后台】垂直行业营销-垂直行业管理-合伙商管理-删除合伙商-界面开发，具体如下
： 1、</t>
        </is>
      </c>
      <c r="H23" s="103" t="inlineStr">
        <is>
          <t>新增</t>
        </is>
      </c>
      <c r="I23" s="105">
        <f>IF(E23="EI",4,IF(E23="EO",5,IF(E23="EQ",4,IF(E23="ILF",10,IF(E23="EIF",7,0)))))*IF(H23="修改",0.6,1)</f>
        <v/>
      </c>
      <c r="J23" s="106" t="n">
        <v>2</v>
      </c>
      <c r="K23" s="106" t="n">
        <v>1</v>
      </c>
      <c r="L23" s="105">
        <f>J23*K23</f>
        <v/>
      </c>
      <c r="M23" s="107" t="inlineStr"/>
      <c r="N23" t="inlineStr"/>
    </row>
    <row r="24" ht="87" customHeight="1" s="52">
      <c r="A24" s="103" t="n">
        <v>22</v>
      </c>
      <c r="B24" s="103" t="inlineStr">
        <is>
          <t>和乐业</t>
        </is>
      </c>
      <c r="C24" s="103" t="inlineStr">
        <is>
          <t>YXGJ-CZHY-01</t>
        </is>
      </c>
      <c r="D24" s="103" t="inlineStr">
        <is>
          <t>【地市后台】垂直行业营销-垂直行业管理-合伙商管理-删除合伙商-接口开发</t>
        </is>
      </c>
      <c r="E24" s="103" t="inlineStr">
        <is>
          <t>ILF</t>
        </is>
      </c>
      <c r="F24" s="104" t="inlineStr"/>
      <c r="G24" s="104" t="inlineStr">
        <is>
          <t>【地市后台】垂直行业营销-垂直行业管理-合伙商管理-删除合伙商-接口开发，具体如下
： 1、</t>
        </is>
      </c>
      <c r="H24" s="103" t="inlineStr">
        <is>
          <t>新增</t>
        </is>
      </c>
      <c r="I24" s="105">
        <f>IF(E24="EI",4,IF(E24="EO",5,IF(E24="EQ",4,IF(E24="ILF",10,IF(E24="EIF",7,0)))))*IF(H24="修改",0.6,1)</f>
        <v/>
      </c>
      <c r="J24" s="106" t="n">
        <v>1</v>
      </c>
      <c r="K24" s="106" t="n">
        <v>1</v>
      </c>
      <c r="L24" s="105">
        <f>J24*K24</f>
        <v/>
      </c>
      <c r="M24" s="107" t="inlineStr"/>
      <c r="N24" t="inlineStr"/>
    </row>
    <row r="25" ht="49.7" customHeight="1" s="52">
      <c r="A25" s="103" t="n">
        <v>23</v>
      </c>
      <c r="B25" s="103" t="inlineStr">
        <is>
          <t>和乐业</t>
        </is>
      </c>
      <c r="C25" s="103" t="inlineStr">
        <is>
          <t>YXGJ-CZHY-01</t>
        </is>
      </c>
      <c r="D25" s="103" t="inlineStr">
        <is>
          <t>【地市后台】垂直行业营销-装修管理-首页装修-首页装修列表数据查询-界面开发</t>
        </is>
      </c>
      <c r="E25" s="103" t="inlineStr">
        <is>
          <t>EI</t>
        </is>
      </c>
      <c r="F25" s="104" t="inlineStr"/>
      <c r="G25" s="104" t="inlineStr">
        <is>
          <t>【地市后台】垂直行业营销-装修管理-首页装修-首页装修列表数据查询-界面开发，具体如下
： 1、</t>
        </is>
      </c>
      <c r="H25" s="103" t="inlineStr">
        <is>
          <t>新增</t>
        </is>
      </c>
      <c r="I25" s="105">
        <f>IF(E25="EI",4,IF(E25="EO",5,IF(E25="EQ",4,IF(E25="ILF",10,IF(E25="EIF",7,0)))))*IF(H25="修改",0.6,1)</f>
        <v/>
      </c>
      <c r="J25" s="106" t="n">
        <v>2</v>
      </c>
      <c r="K25" s="106" t="n">
        <v>1</v>
      </c>
      <c r="L25" s="105">
        <f>J25*K25</f>
        <v/>
      </c>
      <c r="M25" s="107" t="inlineStr"/>
      <c r="N25" t="inlineStr"/>
    </row>
    <row r="26" ht="62.15" customHeight="1" s="52">
      <c r="A26" s="103" t="n">
        <v>24</v>
      </c>
      <c r="B26" s="103" t="inlineStr">
        <is>
          <t>和乐业</t>
        </is>
      </c>
      <c r="C26" s="103" t="inlineStr">
        <is>
          <t>YXGJ-CZHY-01</t>
        </is>
      </c>
      <c r="D26" s="103" t="inlineStr">
        <is>
          <t>【地市后台】垂直行业营销-装修管理-首页装修-首页装修列表数据查询-接口开发</t>
        </is>
      </c>
      <c r="E26" s="103" t="inlineStr">
        <is>
          <t>ILF</t>
        </is>
      </c>
      <c r="F26" s="104" t="inlineStr"/>
      <c r="G26" s="104" t="inlineStr">
        <is>
          <t>【地市后台】垂直行业营销-装修管理-首页装修-首页装修列表数据查询-接口开发，具体如下
： 1、</t>
        </is>
      </c>
      <c r="H26" s="103" t="inlineStr">
        <is>
          <t>新增</t>
        </is>
      </c>
      <c r="I26" s="105">
        <f>IF(E26="EI",4,IF(E26="EO",5,IF(E26="EQ",4,IF(E26="ILF",10,IF(E26="EIF",7,0)))))*IF(H26="修改",0.6,1)</f>
        <v/>
      </c>
      <c r="J26" s="106" t="n">
        <v>1</v>
      </c>
      <c r="K26" s="106" t="n">
        <v>1</v>
      </c>
      <c r="L26" s="105">
        <f>J26*K26</f>
        <v/>
      </c>
      <c r="M26" s="107" t="inlineStr"/>
      <c r="N26" t="inlineStr"/>
    </row>
    <row r="27" ht="62.15" customHeight="1" s="52">
      <c r="A27" s="103" t="n">
        <v>25</v>
      </c>
      <c r="B27" s="103" t="inlineStr">
        <is>
          <t>和乐业</t>
        </is>
      </c>
      <c r="C27" s="103" t="inlineStr">
        <is>
          <t>YXGJ-CZHY-01</t>
        </is>
      </c>
      <c r="D27" s="103" t="inlineStr">
        <is>
          <t>【地市后台】垂直行业营销-装修管理-首页装修-添加行业首页装修-界面开发</t>
        </is>
      </c>
      <c r="E27" s="103" t="inlineStr">
        <is>
          <t>EI</t>
        </is>
      </c>
      <c r="F27" s="104" t="inlineStr"/>
      <c r="G27" s="104" t="inlineStr">
        <is>
          <t>【地市后台】垂直行业营销-装修管理-首页装修-添加行业首页装修-界面开发，具体如下
： 1、</t>
        </is>
      </c>
      <c r="H27" s="103" t="inlineStr">
        <is>
          <t>新增</t>
        </is>
      </c>
      <c r="I27" s="105">
        <f>IF(E27="EI",4,IF(E27="EO",5,IF(E27="EQ",4,IF(E27="ILF",10,IF(E27="EIF",7,0)))))*IF(H27="修改",0.6,1)</f>
        <v/>
      </c>
      <c r="J27" s="106" t="n">
        <v>2</v>
      </c>
      <c r="K27" s="106" t="n">
        <v>1</v>
      </c>
      <c r="L27" s="105">
        <f>J27*K27</f>
        <v/>
      </c>
      <c r="M27" s="107" t="inlineStr"/>
      <c r="N27" t="inlineStr"/>
    </row>
    <row r="28" ht="87" customHeight="1" s="52">
      <c r="A28" s="103" t="n">
        <v>26</v>
      </c>
      <c r="B28" s="103" t="inlineStr">
        <is>
          <t>和乐业</t>
        </is>
      </c>
      <c r="C28" s="103" t="inlineStr">
        <is>
          <t>YXGJ-CZHY-01</t>
        </is>
      </c>
      <c r="D28" s="103" t="inlineStr">
        <is>
          <t>【地市后台】垂直行业营销-装修管理-首页装修-添加行业首页装修-接口开发</t>
        </is>
      </c>
      <c r="E28" s="103" t="inlineStr">
        <is>
          <t>ILF</t>
        </is>
      </c>
      <c r="F28" s="104" t="inlineStr"/>
      <c r="G28" s="104" t="inlineStr">
        <is>
          <t>【地市后台】垂直行业营销-装修管理-首页装修-添加行业首页装修-接口开发，具体如下
： 1、</t>
        </is>
      </c>
      <c r="H28" s="103" t="inlineStr">
        <is>
          <t>新增</t>
        </is>
      </c>
      <c r="I28" s="105">
        <f>IF(E28="EI",4,IF(E28="EO",5,IF(E28="EQ",4,IF(E28="ILF",10,IF(E28="EIF",7,0)))))*IF(H28="修改",0.6,1)</f>
        <v/>
      </c>
      <c r="J28" s="106" t="n">
        <v>1</v>
      </c>
      <c r="K28" s="106" t="n">
        <v>1</v>
      </c>
      <c r="L28" s="105">
        <f>J28*K28</f>
        <v/>
      </c>
      <c r="M28" s="107" t="inlineStr"/>
      <c r="N28" t="inlineStr"/>
    </row>
    <row r="29" ht="49.7" customHeight="1" s="52">
      <c r="A29" s="103" t="n">
        <v>27</v>
      </c>
      <c r="B29" s="103" t="inlineStr">
        <is>
          <t>和乐业</t>
        </is>
      </c>
      <c r="C29" s="103" t="inlineStr">
        <is>
          <t>YXGJ-CZHY-01</t>
        </is>
      </c>
      <c r="D29" s="103" t="inlineStr">
        <is>
          <t>【地市后台】垂直行业营销-装修管理-首页装修-编辑行业首页装修-界面开发</t>
        </is>
      </c>
      <c r="E29" s="103" t="inlineStr">
        <is>
          <t>EI</t>
        </is>
      </c>
      <c r="F29" s="104" t="inlineStr"/>
      <c r="G29" s="104" t="inlineStr">
        <is>
          <t>【地市后台】垂直行业营销-装修管理-首页装修-编辑行业首页装修-界面开发，具体如下
： 1、</t>
        </is>
      </c>
      <c r="H29" s="103" t="inlineStr">
        <is>
          <t>新增</t>
        </is>
      </c>
      <c r="I29" s="105">
        <f>IF(E29="EI",4,IF(E29="EO",5,IF(E29="EQ",4,IF(E29="ILF",10,IF(E29="EIF",7,0)))))*IF(H29="修改",0.6,1)</f>
        <v/>
      </c>
      <c r="J29" s="106" t="n">
        <v>2</v>
      </c>
      <c r="K29" s="106" t="n">
        <v>1</v>
      </c>
      <c r="L29" s="105">
        <f>J29*K29</f>
        <v/>
      </c>
      <c r="M29" s="107" t="inlineStr"/>
      <c r="N29" t="inlineStr"/>
    </row>
    <row r="30" ht="99.45" customHeight="1" s="52">
      <c r="A30" s="103" t="n">
        <v>28</v>
      </c>
      <c r="B30" s="103" t="inlineStr">
        <is>
          <t>和乐业</t>
        </is>
      </c>
      <c r="C30" s="103" t="inlineStr">
        <is>
          <t>YXGJ-CZHY-01</t>
        </is>
      </c>
      <c r="D30" s="103" t="inlineStr">
        <is>
          <t>【地市后台】垂直行业营销-装修管理-首页装修-编辑行业首页装修-接口开发</t>
        </is>
      </c>
      <c r="E30" s="103" t="inlineStr">
        <is>
          <t>ILF</t>
        </is>
      </c>
      <c r="F30" s="104" t="inlineStr"/>
      <c r="G30" s="104" t="inlineStr">
        <is>
          <t>【地市后台】垂直行业营销-装修管理-首页装修-编辑行业首页装修-接口开发，具体如下
： 1、</t>
        </is>
      </c>
      <c r="H30" s="103" t="inlineStr">
        <is>
          <t>新增</t>
        </is>
      </c>
      <c r="I30" s="105">
        <f>IF(E30="EI",4,IF(E30="EO",5,IF(E30="EQ",4,IF(E30="ILF",10,IF(E30="EIF",7,0)))))*IF(H30="修改",0.6,1)</f>
        <v/>
      </c>
      <c r="J30" s="106" t="n">
        <v>1</v>
      </c>
      <c r="K30" s="106" t="n">
        <v>1</v>
      </c>
      <c r="L30" s="105">
        <f>J30*K30</f>
        <v/>
      </c>
      <c r="M30" s="107" t="inlineStr"/>
      <c r="N30" t="inlineStr"/>
    </row>
    <row r="31" ht="111.85" customHeight="1" s="52">
      <c r="A31" s="103" t="n">
        <v>29</v>
      </c>
      <c r="B31" s="103" t="inlineStr">
        <is>
          <t>和乐业</t>
        </is>
      </c>
      <c r="C31" s="103" t="inlineStr">
        <is>
          <t>YXGJ-CZHY-01</t>
        </is>
      </c>
      <c r="D31" s="103" t="inlineStr">
        <is>
          <t>【地市后台】垂直行业营销-装修管理-首页装修-删除行业装修首页-界面开发</t>
        </is>
      </c>
      <c r="E31" s="103" t="inlineStr">
        <is>
          <t>EI</t>
        </is>
      </c>
      <c r="F31" s="104" t="inlineStr"/>
      <c r="G31" s="104" t="inlineStr">
        <is>
          <t>【地市后台】垂直行业营销-装修管理-首页装修-删除行业装修首页-界面开发，具体如下
： 1、</t>
        </is>
      </c>
      <c r="H31" s="103" t="inlineStr">
        <is>
          <t>新增</t>
        </is>
      </c>
      <c r="I31" s="105">
        <f>IF(E31="EI",4,IF(E31="EO",5,IF(E31="EQ",4,IF(E31="ILF",10,IF(E31="EIF",7,0)))))*IF(H31="修改",0.6,1)</f>
        <v/>
      </c>
      <c r="J31" s="106" t="n">
        <v>2</v>
      </c>
      <c r="K31" s="106" t="n">
        <v>1</v>
      </c>
      <c r="L31" s="105">
        <f>J31*K31</f>
        <v/>
      </c>
      <c r="M31" s="107" t="inlineStr"/>
      <c r="N31" t="inlineStr"/>
    </row>
    <row r="32" ht="62.15" customHeight="1" s="52">
      <c r="A32" s="103" t="n">
        <v>30</v>
      </c>
      <c r="B32" s="103" t="inlineStr">
        <is>
          <t>和乐业</t>
        </is>
      </c>
      <c r="C32" s="103" t="inlineStr">
        <is>
          <t>YXGJ-CZHY-01</t>
        </is>
      </c>
      <c r="D32" s="103" t="inlineStr">
        <is>
          <t>【地市后台】垂直行业营销-装修管理-首页装修-删除行业装修首页-接口开发</t>
        </is>
      </c>
      <c r="E32" s="103" t="inlineStr">
        <is>
          <t>ILF</t>
        </is>
      </c>
      <c r="F32" s="104" t="inlineStr"/>
      <c r="G32" s="104" t="inlineStr">
        <is>
          <t>【地市后台】垂直行业营销-装修管理-首页装修-删除行业装修首页-接口开发，具体如下
： 1、</t>
        </is>
      </c>
      <c r="H32" s="103" t="inlineStr">
        <is>
          <t>新增</t>
        </is>
      </c>
      <c r="I32" s="105">
        <f>IF(E32="EI",4,IF(E32="EO",5,IF(E32="EQ",4,IF(E32="ILF",10,IF(E32="EIF",7,0)))))*IF(H32="修改",0.6,1)</f>
        <v/>
      </c>
      <c r="J32" s="106" t="n">
        <v>1</v>
      </c>
      <c r="K32" s="106" t="n">
        <v>1</v>
      </c>
      <c r="L32" s="105">
        <f>J32*K32</f>
        <v/>
      </c>
      <c r="M32" s="107" t="inlineStr"/>
      <c r="N32" t="inlineStr"/>
    </row>
    <row r="33" ht="87" customHeight="1" s="52">
      <c r="A33" s="103" t="n">
        <v>31</v>
      </c>
      <c r="B33" s="103" t="inlineStr">
        <is>
          <t>和乐业</t>
        </is>
      </c>
      <c r="C33" s="103" t="inlineStr">
        <is>
          <t>YXGJ-CZHY-01</t>
        </is>
      </c>
      <c r="D33" s="103" t="inlineStr">
        <is>
          <t>【地市后台】垂直行业营销-装修管理-首页装修-一键复制行业装修首页-界面开发</t>
        </is>
      </c>
      <c r="E33" s="103" t="inlineStr">
        <is>
          <t>EI</t>
        </is>
      </c>
      <c r="F33" s="104" t="inlineStr"/>
      <c r="G33" s="104" t="inlineStr">
        <is>
          <t>【地市后台】垂直行业营销-装修管理-首页装修-一键复制行业装修首页-界面开发，具体如下
： 1、</t>
        </is>
      </c>
      <c r="H33" s="103" t="inlineStr">
        <is>
          <t>新增</t>
        </is>
      </c>
      <c r="I33" s="105">
        <f>IF(E33="EI",4,IF(E33="EO",5,IF(E33="EQ",4,IF(E33="ILF",10,IF(E33="EIF",7,0)))))*IF(H33="修改",0.6,1)</f>
        <v/>
      </c>
      <c r="J33" s="106" t="n">
        <v>2</v>
      </c>
      <c r="K33" s="106" t="n">
        <v>1</v>
      </c>
      <c r="L33" s="105">
        <f>J33*K33</f>
        <v/>
      </c>
      <c r="M33" s="107" t="inlineStr"/>
      <c r="N33" t="inlineStr"/>
    </row>
    <row r="34" ht="62.15" customHeight="1" s="52">
      <c r="A34" s="103" t="n">
        <v>32</v>
      </c>
      <c r="B34" s="103" t="inlineStr">
        <is>
          <t>和乐业</t>
        </is>
      </c>
      <c r="C34" s="103" t="inlineStr">
        <is>
          <t>YXGJ-CZHY-01</t>
        </is>
      </c>
      <c r="D34" s="103" t="inlineStr">
        <is>
          <t>【地市后台】垂直行业营销-装修管理-首页装修-一键复制行业装修首页-接口开发</t>
        </is>
      </c>
      <c r="E34" s="103" t="inlineStr">
        <is>
          <t>ILF</t>
        </is>
      </c>
      <c r="F34" s="104" t="inlineStr"/>
      <c r="G34" s="104" t="inlineStr">
        <is>
          <t>【地市后台】垂直行业营销-装修管理-首页装修-一键复制行业装修首页-接口开发，具体如下
： 1、</t>
        </is>
      </c>
      <c r="H34" s="103" t="inlineStr">
        <is>
          <t>新增</t>
        </is>
      </c>
      <c r="I34" s="105">
        <f>IF(E34="EI",4,IF(E34="EO",5,IF(E34="EQ",4,IF(E34="ILF",10,IF(E34="EIF",7,0)))))*IF(H34="修改",0.6,1)</f>
        <v/>
      </c>
      <c r="J34" s="106" t="n">
        <v>1</v>
      </c>
      <c r="K34" s="106" t="n">
        <v>1</v>
      </c>
      <c r="L34" s="105">
        <f>J34*K34</f>
        <v/>
      </c>
      <c r="M34" s="107" t="inlineStr"/>
      <c r="N34" t="inlineStr"/>
    </row>
    <row r="35" ht="87" customHeight="1" s="52">
      <c r="A35" s="103" t="n">
        <v>33</v>
      </c>
      <c r="B35" s="103" t="inlineStr">
        <is>
          <t>和乐业</t>
        </is>
      </c>
      <c r="C35" s="103" t="inlineStr">
        <is>
          <t>YXGJ-CZHY-01</t>
        </is>
      </c>
      <c r="D35" s="103" t="inlineStr">
        <is>
          <t>【地市后台】垂直行业营销-装修管理-首页装修-获取行业首页装修活动地址-界面开发</t>
        </is>
      </c>
      <c r="E35" s="103" t="inlineStr">
        <is>
          <t>EI</t>
        </is>
      </c>
      <c r="F35" s="104" t="inlineStr"/>
      <c r="G35" s="104" t="inlineStr">
        <is>
          <t>【地市后台】垂直行业营销-装修管理-首页装修-获取行业首页装修活动地址-界面开发，具体如下
： 1、</t>
        </is>
      </c>
      <c r="H35" s="103" t="inlineStr">
        <is>
          <t>新增</t>
        </is>
      </c>
      <c r="I35" s="105">
        <f>IF(E35="EI",4,IF(E35="EO",5,IF(E35="EQ",4,IF(E35="ILF",10,IF(E35="EIF",7,0)))))*IF(H35="修改",0.6,1)</f>
        <v/>
      </c>
      <c r="J35" s="106" t="n">
        <v>2</v>
      </c>
      <c r="K35" s="106" t="n">
        <v>1</v>
      </c>
      <c r="L35" s="105">
        <f>J35*K35</f>
        <v/>
      </c>
      <c r="M35" s="107" t="inlineStr"/>
      <c r="N35" t="inlineStr"/>
    </row>
    <row r="36" ht="49.7" customHeight="1" s="52">
      <c r="A36" s="103" t="n">
        <v>34</v>
      </c>
      <c r="B36" s="103" t="inlineStr">
        <is>
          <t>和乐业</t>
        </is>
      </c>
      <c r="C36" s="103" t="inlineStr">
        <is>
          <t>YXGJ-CZHY-01</t>
        </is>
      </c>
      <c r="D36" s="103" t="inlineStr">
        <is>
          <t>【地市后台】垂直行业营销-装修管理-首页装修-获取行业首页装修活动地址-接口开发</t>
        </is>
      </c>
      <c r="E36" s="103" t="inlineStr">
        <is>
          <t>ILF</t>
        </is>
      </c>
      <c r="F36" s="104" t="inlineStr"/>
      <c r="G36" s="104" t="inlineStr">
        <is>
          <t>【地市后台】垂直行业营销-装修管理-首页装修-获取行业首页装修活动地址-接口开发，具体如下
： 1、</t>
        </is>
      </c>
      <c r="H36" s="103" t="inlineStr">
        <is>
          <t>新增</t>
        </is>
      </c>
      <c r="I36" s="105">
        <f>IF(E36="EI",4,IF(E36="EO",5,IF(E36="EQ",4,IF(E36="ILF",10,IF(E36="EIF",7,0)))))*IF(H36="修改",0.6,1)</f>
        <v/>
      </c>
      <c r="J36" s="106" t="n">
        <v>1</v>
      </c>
      <c r="K36" s="106" t="n">
        <v>1</v>
      </c>
      <c r="L36" s="105">
        <f>J36*K36</f>
        <v/>
      </c>
      <c r="M36" s="107" t="inlineStr"/>
      <c r="N36" t="inlineStr"/>
    </row>
    <row r="37" ht="87" customHeight="1" s="52">
      <c r="A37" s="103" t="n">
        <v>35</v>
      </c>
      <c r="B37" s="103" t="inlineStr">
        <is>
          <t>和乐业</t>
        </is>
      </c>
      <c r="C37" s="103" t="inlineStr">
        <is>
          <t>YXGJ-CZHY-01</t>
        </is>
      </c>
      <c r="D37" s="103" t="inlineStr">
        <is>
          <t>【地市后台】垂直行业营销-装修管理-自定义装修-自定义页面列表数据查询-界面开发</t>
        </is>
      </c>
      <c r="E37" s="103" t="inlineStr">
        <is>
          <t>EI</t>
        </is>
      </c>
      <c r="F37" s="104" t="inlineStr"/>
      <c r="G37" s="104" t="inlineStr">
        <is>
          <t>【地市后台】垂直行业营销-装修管理-自定义装修-自定义页面列表数据查询-界面开发，具体如下
： 1、</t>
        </is>
      </c>
      <c r="H37" s="103" t="inlineStr">
        <is>
          <t>新增</t>
        </is>
      </c>
      <c r="I37" s="105">
        <f>IF(E37="EI",4,IF(E37="EO",5,IF(E37="EQ",4,IF(E37="ILF",10,IF(E37="EIF",7,0)))))*IF(H37="修改",0.6,1)</f>
        <v/>
      </c>
      <c r="J37" s="106" t="n">
        <v>2</v>
      </c>
      <c r="K37" s="106" t="n">
        <v>1</v>
      </c>
      <c r="L37" s="105">
        <f>J37*K37</f>
        <v/>
      </c>
      <c r="M37" s="107" t="inlineStr"/>
      <c r="N37" t="inlineStr"/>
    </row>
    <row r="38" ht="49.7" customHeight="1" s="52">
      <c r="A38" s="103" t="n">
        <v>36</v>
      </c>
      <c r="B38" s="103" t="inlineStr">
        <is>
          <t>和乐业</t>
        </is>
      </c>
      <c r="C38" s="103" t="inlineStr">
        <is>
          <t>YXGJ-CZHY-01</t>
        </is>
      </c>
      <c r="D38" s="103" t="inlineStr">
        <is>
          <t>【地市后台】垂直行业营销-装修管理-自定义装修-自定义页面列表数据查询-接口开发</t>
        </is>
      </c>
      <c r="E38" s="103" t="inlineStr">
        <is>
          <t>ILF</t>
        </is>
      </c>
      <c r="F38" s="104" t="inlineStr"/>
      <c r="G38" s="104" t="inlineStr">
        <is>
          <t>【地市后台】垂直行业营销-装修管理-自定义装修-自定义页面列表数据查询-接口开发，具体如下
： 1、</t>
        </is>
      </c>
      <c r="H38" s="103" t="inlineStr">
        <is>
          <t>新增</t>
        </is>
      </c>
      <c r="I38" s="105">
        <f>IF(E38="EI",4,IF(E38="EO",5,IF(E38="EQ",4,IF(E38="ILF",10,IF(E38="EIF",7,0)))))*IF(H38="修改",0.6,1)</f>
        <v/>
      </c>
      <c r="J38" s="106" t="n">
        <v>1</v>
      </c>
      <c r="K38" s="106" t="n">
        <v>1</v>
      </c>
      <c r="L38" s="105">
        <f>J38*K38</f>
        <v/>
      </c>
      <c r="M38" s="107" t="inlineStr"/>
      <c r="N38" t="inlineStr"/>
    </row>
    <row r="39" ht="99.45" customHeight="1" s="52">
      <c r="A39" s="103" t="n">
        <v>37</v>
      </c>
      <c r="B39" s="103" t="inlineStr">
        <is>
          <t>和乐业</t>
        </is>
      </c>
      <c r="C39" s="103" t="inlineStr">
        <is>
          <t>YXGJ-CZHY-01</t>
        </is>
      </c>
      <c r="D39" s="103" t="inlineStr">
        <is>
          <t>【地市后台】垂直行业营销-装修管理-自定义装修-添加自定义页面-界面开发</t>
        </is>
      </c>
      <c r="E39" s="103" t="inlineStr">
        <is>
          <t>EI</t>
        </is>
      </c>
      <c r="F39" s="104" t="inlineStr"/>
      <c r="G39" s="104" t="inlineStr">
        <is>
          <t>【地市后台】垂直行业营销-装修管理-自定义装修-添加自定义页面-界面开发，具体如下
： 1、</t>
        </is>
      </c>
      <c r="H39" s="103" t="inlineStr">
        <is>
          <t>新增</t>
        </is>
      </c>
      <c r="I39" s="105">
        <f>IF(E39="EI",4,IF(E39="EO",5,IF(E39="EQ",4,IF(E39="ILF",10,IF(E39="EIF",7,0)))))*IF(H39="修改",0.6,1)</f>
        <v/>
      </c>
      <c r="J39" s="106" t="n">
        <v>2</v>
      </c>
      <c r="K39" s="106" t="n">
        <v>1</v>
      </c>
      <c r="L39" s="105">
        <f>J39*K39</f>
        <v/>
      </c>
      <c r="M39" s="107" t="inlineStr"/>
      <c r="N39" t="inlineStr"/>
    </row>
    <row r="40" ht="111.85" customHeight="1" s="52">
      <c r="A40" s="103" t="n">
        <v>38</v>
      </c>
      <c r="B40" s="103" t="inlineStr">
        <is>
          <t>和乐业</t>
        </is>
      </c>
      <c r="C40" s="103" t="inlineStr">
        <is>
          <t>YXGJ-CZHY-01</t>
        </is>
      </c>
      <c r="D40" s="103" t="inlineStr">
        <is>
          <t>【地市后台】垂直行业营销-装修管理-自定义装修-添加自定义页面-接口开发</t>
        </is>
      </c>
      <c r="E40" s="103" t="inlineStr">
        <is>
          <t>ILF</t>
        </is>
      </c>
      <c r="F40" s="104" t="inlineStr"/>
      <c r="G40" s="104" t="inlineStr">
        <is>
          <t>【地市后台】垂直行业营销-装修管理-自定义装修-添加自定义页面-接口开发，具体如下
： 1、</t>
        </is>
      </c>
      <c r="H40" s="103" t="inlineStr">
        <is>
          <t>新增</t>
        </is>
      </c>
      <c r="I40" s="105">
        <f>IF(E40="EI",4,IF(E40="EO",5,IF(E40="EQ",4,IF(E40="ILF",10,IF(E40="EIF",7,0)))))*IF(H40="修改",0.6,1)</f>
        <v/>
      </c>
      <c r="J40" s="106" t="n">
        <v>1</v>
      </c>
      <c r="K40" s="106" t="n">
        <v>1</v>
      </c>
      <c r="L40" s="105">
        <f>J40*K40</f>
        <v/>
      </c>
      <c r="M40" s="107" t="inlineStr"/>
      <c r="N40" t="inlineStr"/>
    </row>
    <row r="41" ht="74.55" customHeight="1" s="52">
      <c r="A41" s="103" t="n">
        <v>39</v>
      </c>
      <c r="B41" s="103" t="inlineStr">
        <is>
          <t>和乐业</t>
        </is>
      </c>
      <c r="C41" s="103" t="inlineStr">
        <is>
          <t>YXGJ-CZHY-01</t>
        </is>
      </c>
      <c r="D41" s="103" t="inlineStr">
        <is>
          <t>【地市后台】垂直行业营销-装修管理-自定义装修-编辑自定义页面-界面开发</t>
        </is>
      </c>
      <c r="E41" s="103" t="inlineStr">
        <is>
          <t>EI</t>
        </is>
      </c>
      <c r="F41" s="104" t="inlineStr"/>
      <c r="G41" s="104" t="inlineStr">
        <is>
          <t>【地市后台】垂直行业营销-装修管理-自定义装修-编辑自定义页面-界面开发，具体如下
： 1、</t>
        </is>
      </c>
      <c r="H41" s="103" t="inlineStr">
        <is>
          <t>新增</t>
        </is>
      </c>
      <c r="I41" s="105">
        <f>IF(E41="EI",4,IF(E41="EO",5,IF(E41="EQ",4,IF(E41="ILF",10,IF(E41="EIF",7,0)))))*IF(H41="修改",0.6,1)</f>
        <v/>
      </c>
      <c r="J41" s="106" t="n">
        <v>2</v>
      </c>
      <c r="K41" s="106" t="n">
        <v>1</v>
      </c>
      <c r="L41" s="105">
        <f>J41*K41</f>
        <v/>
      </c>
      <c r="M41" s="107" t="inlineStr"/>
      <c r="N41" t="inlineStr"/>
    </row>
    <row r="42" ht="99.45" customHeight="1" s="52">
      <c r="A42" s="103" t="n">
        <v>40</v>
      </c>
      <c r="B42" s="103" t="inlineStr">
        <is>
          <t>和乐业</t>
        </is>
      </c>
      <c r="C42" s="103" t="inlineStr">
        <is>
          <t>YXGJ-CZHY-01</t>
        </is>
      </c>
      <c r="D42" s="103" t="inlineStr">
        <is>
          <t>【地市后台】垂直行业营销-装修管理-自定义装修-编辑自定义页面-接口开发</t>
        </is>
      </c>
      <c r="E42" s="103" t="inlineStr">
        <is>
          <t>ILF</t>
        </is>
      </c>
      <c r="F42" s="104" t="inlineStr"/>
      <c r="G42" s="104" t="inlineStr">
        <is>
          <t>【地市后台】垂直行业营销-装修管理-自定义装修-编辑自定义页面-接口开发，具体如下
： 1、</t>
        </is>
      </c>
      <c r="H42" s="103" t="inlineStr">
        <is>
          <t>新增</t>
        </is>
      </c>
      <c r="I42" s="105">
        <f>IF(E42="EI",4,IF(E42="EO",5,IF(E42="EQ",4,IF(E42="ILF",10,IF(E42="EIF",7,0)))))*IF(H42="修改",0.6,1)</f>
        <v/>
      </c>
      <c r="J42" s="106" t="n">
        <v>1</v>
      </c>
      <c r="K42" s="106" t="n">
        <v>1</v>
      </c>
      <c r="L42" s="105">
        <f>J42*K42</f>
        <v/>
      </c>
      <c r="M42" s="107" t="inlineStr"/>
      <c r="N42" t="inlineStr"/>
    </row>
    <row r="43" ht="136.7" customHeight="1" s="52">
      <c r="A43" s="103" t="n">
        <v>41</v>
      </c>
      <c r="B43" s="103" t="inlineStr">
        <is>
          <t>和乐业</t>
        </is>
      </c>
      <c r="C43" s="103" t="inlineStr">
        <is>
          <t>YXGJ-CZHY-01</t>
        </is>
      </c>
      <c r="D43" s="103" t="inlineStr">
        <is>
          <t>【地市后台】垂直行业营销-装修管理-自定义装修-删除自定义页面-界面开发</t>
        </is>
      </c>
      <c r="E43" s="103" t="inlineStr">
        <is>
          <t>EI</t>
        </is>
      </c>
      <c r="F43" s="104" t="inlineStr"/>
      <c r="G43" s="104" t="inlineStr">
        <is>
          <t>【地市后台】垂直行业营销-装修管理-自定义装修-删除自定义页面-界面开发，具体如下
： 1、</t>
        </is>
      </c>
      <c r="H43" s="103" t="inlineStr">
        <is>
          <t>新增</t>
        </is>
      </c>
      <c r="I43" s="105">
        <f>IF(E43="EI",4,IF(E43="EO",5,IF(E43="EQ",4,IF(E43="ILF",10,IF(E43="EIF",7,0)))))*IF(H43="修改",0.6,1)</f>
        <v/>
      </c>
      <c r="J43" s="106" t="n">
        <v>2</v>
      </c>
      <c r="K43" s="106" t="n">
        <v>1</v>
      </c>
      <c r="L43" s="105">
        <f>J43*K43</f>
        <v/>
      </c>
      <c r="M43" s="107" t="inlineStr"/>
      <c r="N43" t="inlineStr"/>
    </row>
    <row r="44" ht="87" customHeight="1" s="52">
      <c r="A44" s="103" t="n">
        <v>42</v>
      </c>
      <c r="B44" s="103" t="inlineStr">
        <is>
          <t>和乐业</t>
        </is>
      </c>
      <c r="C44" s="103" t="inlineStr">
        <is>
          <t>YXGJ-CZHY-01</t>
        </is>
      </c>
      <c r="D44" s="103" t="inlineStr">
        <is>
          <t>【地市后台】垂直行业营销-装修管理-自定义装修-删除自定义页面-接口开发</t>
        </is>
      </c>
      <c r="E44" s="103" t="inlineStr">
        <is>
          <t>ILF</t>
        </is>
      </c>
      <c r="F44" s="104" t="inlineStr"/>
      <c r="G44" s="104" t="inlineStr">
        <is>
          <t>【地市后台】垂直行业营销-装修管理-自定义装修-删除自定义页面-接口开发，具体如下
： 1、</t>
        </is>
      </c>
      <c r="H44" s="103" t="inlineStr">
        <is>
          <t>新增</t>
        </is>
      </c>
      <c r="I44" s="105">
        <f>IF(E44="EI",4,IF(E44="EO",5,IF(E44="EQ",4,IF(E44="ILF",10,IF(E44="EIF",7,0)))))*IF(H44="修改",0.6,1)</f>
        <v/>
      </c>
      <c r="J44" s="106" t="n">
        <v>1</v>
      </c>
      <c r="K44" s="106" t="n">
        <v>1</v>
      </c>
      <c r="L44" s="105">
        <f>J44*K44</f>
        <v/>
      </c>
      <c r="M44" s="107" t="inlineStr"/>
      <c r="N44" t="inlineStr"/>
    </row>
    <row r="45" ht="99.45" customHeight="1" s="52">
      <c r="A45" s="103" t="n">
        <v>43</v>
      </c>
      <c r="B45" s="103" t="inlineStr">
        <is>
          <t>和乐业</t>
        </is>
      </c>
      <c r="C45" s="103" t="inlineStr">
        <is>
          <t>YXGJ-CZHY-01</t>
        </is>
      </c>
      <c r="D45" s="103" t="inlineStr">
        <is>
          <t>【地市后台】垂直行业营销-装修管理-自定义装修-一键复制自定义页面-界面开发</t>
        </is>
      </c>
      <c r="E45" s="103" t="inlineStr">
        <is>
          <t>EI</t>
        </is>
      </c>
      <c r="F45" s="104" t="inlineStr"/>
      <c r="G45" s="104" t="inlineStr">
        <is>
          <t>【地市后台】垂直行业营销-装修管理-自定义装修-一键复制自定义页面-界面开发，具体如下
： 1、</t>
        </is>
      </c>
      <c r="H45" s="103" t="inlineStr">
        <is>
          <t>新增</t>
        </is>
      </c>
      <c r="I45" s="105">
        <f>IF(E45="EI",4,IF(E45="EO",5,IF(E45="EQ",4,IF(E45="ILF",10,IF(E45="EIF",7,0)))))*IF(H45="修改",0.6,1)</f>
        <v/>
      </c>
      <c r="J45" s="106" t="n">
        <v>2</v>
      </c>
      <c r="K45" s="106" t="n">
        <v>1</v>
      </c>
      <c r="L45" s="105">
        <f>J45*K45</f>
        <v/>
      </c>
      <c r="M45" s="107" t="inlineStr"/>
      <c r="N45" t="inlineStr"/>
    </row>
    <row r="46" ht="99.45" customHeight="1" s="52">
      <c r="A46" s="103" t="n">
        <v>44</v>
      </c>
      <c r="B46" s="103" t="inlineStr">
        <is>
          <t>和乐业</t>
        </is>
      </c>
      <c r="C46" s="103" t="inlineStr">
        <is>
          <t>YXGJ-CZHY-01</t>
        </is>
      </c>
      <c r="D46" s="103" t="inlineStr">
        <is>
          <t>【地市后台】垂直行业营销-装修管理-自定义装修-一键复制自定义页面-接口开发</t>
        </is>
      </c>
      <c r="E46" s="103" t="inlineStr">
        <is>
          <t>ILF</t>
        </is>
      </c>
      <c r="F46" s="104" t="inlineStr"/>
      <c r="G46" s="104" t="inlineStr">
        <is>
          <t>【地市后台】垂直行业营销-装修管理-自定义装修-一键复制自定义页面-接口开发，具体如下
： 1、</t>
        </is>
      </c>
      <c r="H46" s="103" t="inlineStr">
        <is>
          <t>新增</t>
        </is>
      </c>
      <c r="I46" s="105">
        <f>IF(E46="EI",4,IF(E46="EO",5,IF(E46="EQ",4,IF(E46="ILF",10,IF(E46="EIF",7,0)))))*IF(H46="修改",0.6,1)</f>
        <v/>
      </c>
      <c r="J46" s="106" t="n">
        <v>1</v>
      </c>
      <c r="K46" s="106" t="n">
        <v>1</v>
      </c>
      <c r="L46" s="105">
        <f>J46*K46</f>
        <v/>
      </c>
      <c r="M46" s="107" t="inlineStr"/>
      <c r="N46" t="inlineStr"/>
    </row>
    <row r="47" ht="99.45" customHeight="1" s="52">
      <c r="A47" s="103" t="n">
        <v>45</v>
      </c>
      <c r="B47" s="103" t="inlineStr">
        <is>
          <t>和乐业</t>
        </is>
      </c>
      <c r="C47" s="103" t="inlineStr">
        <is>
          <t>YXGJ-CZHY-01</t>
        </is>
      </c>
      <c r="D47" s="103" t="inlineStr">
        <is>
          <t>【地市后台】垂直行业营销-装修管理-自定义装修-获取自定义页面地址-界面开发</t>
        </is>
      </c>
      <c r="E47" s="103" t="inlineStr">
        <is>
          <t>EI</t>
        </is>
      </c>
      <c r="F47" s="104" t="inlineStr"/>
      <c r="G47" s="104" t="inlineStr">
        <is>
          <t>【地市后台】垂直行业营销-装修管理-自定义装修-获取自定义页面地址-界面开发，具体如下
： 1、</t>
        </is>
      </c>
      <c r="H47" s="103" t="inlineStr">
        <is>
          <t>新增</t>
        </is>
      </c>
      <c r="I47" s="105">
        <f>IF(E47="EI",4,IF(E47="EO",5,IF(E47="EQ",4,IF(E47="ILF",10,IF(E47="EIF",7,0)))))*IF(H47="修改",0.6,1)</f>
        <v/>
      </c>
      <c r="J47" s="106" t="n">
        <v>2</v>
      </c>
      <c r="K47" s="106" t="n">
        <v>1</v>
      </c>
      <c r="L47" s="105">
        <f>J47*K47</f>
        <v/>
      </c>
      <c r="M47" s="107" t="inlineStr"/>
      <c r="N47" t="inlineStr"/>
    </row>
    <row r="48" ht="74.55" customHeight="1" s="52">
      <c r="A48" s="103" t="n">
        <v>46</v>
      </c>
      <c r="B48" s="103" t="inlineStr">
        <is>
          <t>和乐业</t>
        </is>
      </c>
      <c r="C48" s="103" t="inlineStr">
        <is>
          <t>YXGJ-CZHY-01</t>
        </is>
      </c>
      <c r="D48" s="103" t="inlineStr">
        <is>
          <t>【地市后台】垂直行业营销-装修管理-自定义装修-获取自定义页面地址-接口开发</t>
        </is>
      </c>
      <c r="E48" s="103" t="inlineStr">
        <is>
          <t>ILF</t>
        </is>
      </c>
      <c r="F48" s="104" t="inlineStr"/>
      <c r="G48" s="104" t="inlineStr">
        <is>
          <t>【地市后台】垂直行业营销-装修管理-自定义装修-获取自定义页面地址-接口开发，具体如下
： 1、</t>
        </is>
      </c>
      <c r="H48" s="103" t="inlineStr">
        <is>
          <t>新增</t>
        </is>
      </c>
      <c r="I48" s="105">
        <f>IF(E48="EI",4,IF(E48="EO",5,IF(E48="EQ",4,IF(E48="ILF",10,IF(E48="EIF",7,0)))))*IF(H48="修改",0.6,1)</f>
        <v/>
      </c>
      <c r="J48" s="106" t="n">
        <v>1</v>
      </c>
      <c r="K48" s="106" t="n">
        <v>1</v>
      </c>
      <c r="L48" s="105">
        <f>J48*K48</f>
        <v/>
      </c>
      <c r="M48" s="107" t="inlineStr"/>
      <c r="N48" t="inlineStr"/>
    </row>
    <row r="49" ht="74.55" customHeight="1" s="52">
      <c r="A49" s="103" t="n">
        <v>47</v>
      </c>
      <c r="B49" s="103" t="inlineStr">
        <is>
          <t>和乐业</t>
        </is>
      </c>
      <c r="C49" s="103" t="inlineStr">
        <is>
          <t>YXGJ-CZHY-01</t>
        </is>
      </c>
      <c r="D49" s="103" t="inlineStr">
        <is>
          <t>【地市后台】垂直行业营销-行业人员认证管理-行业人员认证列表-查询已认证行业人员信息-界面开发</t>
        </is>
      </c>
      <c r="E49" s="103" t="inlineStr">
        <is>
          <t>EI</t>
        </is>
      </c>
      <c r="F49" s="104" t="inlineStr"/>
      <c r="G49" s="104" t="inlineStr">
        <is>
          <t>【地市后台】垂直行业营销-行业人员认证管理-行业人员认证列表-查询已认证行业人员信息-界面开发，具体如下
： 1、</t>
        </is>
      </c>
      <c r="H49" s="103" t="inlineStr">
        <is>
          <t>新增</t>
        </is>
      </c>
      <c r="I49" s="105">
        <f>IF(E49="EI",4,IF(E49="EO",5,IF(E49="EQ",4,IF(E49="ILF",10,IF(E49="EIF",7,0)))))*IF(H49="修改",0.6,1)</f>
        <v/>
      </c>
      <c r="J49" s="106" t="n">
        <v>2</v>
      </c>
      <c r="K49" s="106" t="n">
        <v>1</v>
      </c>
      <c r="L49" s="105">
        <f>J49*K49</f>
        <v/>
      </c>
      <c r="M49" s="107" t="inlineStr"/>
      <c r="N49" t="inlineStr"/>
    </row>
    <row r="50" ht="99.45" customHeight="1" s="52">
      <c r="A50" s="103" t="n">
        <v>48</v>
      </c>
      <c r="B50" s="103" t="inlineStr">
        <is>
          <t>和乐业</t>
        </is>
      </c>
      <c r="C50" s="103" t="inlineStr">
        <is>
          <t>YXGJ-CZHY-01</t>
        </is>
      </c>
      <c r="D50" s="103" t="inlineStr">
        <is>
          <t>【地市后台】垂直行业营销-行业人员认证管理-行业人员认证列表-查询已认证行业人员信息-接口开发</t>
        </is>
      </c>
      <c r="E50" s="103" t="inlineStr">
        <is>
          <t>ILF</t>
        </is>
      </c>
      <c r="F50" s="104" t="inlineStr"/>
      <c r="G50" s="104" t="inlineStr">
        <is>
          <t>【地市后台】垂直行业营销-行业人员认证管理-行业人员认证列表-查询已认证行业人员信息-接口开发，具体如下
： 1、</t>
        </is>
      </c>
      <c r="H50" s="103" t="inlineStr">
        <is>
          <t>新增</t>
        </is>
      </c>
      <c r="I50" s="105">
        <f>IF(E50="EI",4,IF(E50="EO",5,IF(E50="EQ",4,IF(E50="ILF",10,IF(E50="EIF",7,0)))))*IF(H50="修改",0.6,1)</f>
        <v/>
      </c>
      <c r="J50" s="106" t="n">
        <v>1</v>
      </c>
      <c r="K50" s="106" t="n">
        <v>1</v>
      </c>
      <c r="L50" s="105">
        <f>J50*K50</f>
        <v/>
      </c>
      <c r="M50" s="107" t="inlineStr"/>
      <c r="N50" t="inlineStr"/>
    </row>
    <row r="51" ht="87" customHeight="1" s="52">
      <c r="A51" s="103" t="n">
        <v>49</v>
      </c>
      <c r="B51" s="103" t="inlineStr">
        <is>
          <t>和乐业</t>
        </is>
      </c>
      <c r="C51" s="103" t="inlineStr">
        <is>
          <t>YXGJ-CZHY-01</t>
        </is>
      </c>
      <c r="D51" s="103" t="inlineStr">
        <is>
          <t>【地市后台】垂直行业营销-行业人员认证管理-行业人员认证列表-导入已认证行业人员-界面开发</t>
        </is>
      </c>
      <c r="E51" s="103" t="inlineStr">
        <is>
          <t>EI</t>
        </is>
      </c>
      <c r="F51" s="104" t="inlineStr"/>
      <c r="G51" s="104" t="inlineStr">
        <is>
          <t>【地市后台】垂直行业营销-行业人员认证管理-行业人员认证列表-导入已认证行业人员-界面开发，具体如下
： 1、</t>
        </is>
      </c>
      <c r="H51" s="103" t="inlineStr">
        <is>
          <t>新增</t>
        </is>
      </c>
      <c r="I51" s="105">
        <f>IF(E51="EI",4,IF(E51="EO",5,IF(E51="EQ",4,IF(E51="ILF",10,IF(E51="EIF",7,0)))))*IF(H51="修改",0.6,1)</f>
        <v/>
      </c>
      <c r="J51" s="106" t="n">
        <v>2</v>
      </c>
      <c r="K51" s="106" t="n">
        <v>1</v>
      </c>
      <c r="L51" s="105">
        <f>J51*K51</f>
        <v/>
      </c>
      <c r="M51" s="107" t="inlineStr"/>
      <c r="N51" t="inlineStr"/>
    </row>
    <row r="52" ht="74.55" customHeight="1" s="52">
      <c r="A52" s="103" t="n">
        <v>50</v>
      </c>
      <c r="B52" s="103" t="inlineStr">
        <is>
          <t>和乐业</t>
        </is>
      </c>
      <c r="C52" s="103" t="inlineStr">
        <is>
          <t>YXGJ-CZHY-01</t>
        </is>
      </c>
      <c r="D52" s="103" t="inlineStr">
        <is>
          <t>【地市后台】垂直行业营销-行业人员认证管理-行业人员认证列表-导入已认证行业人员-接口开发</t>
        </is>
      </c>
      <c r="E52" s="103" t="inlineStr">
        <is>
          <t>ILF</t>
        </is>
      </c>
      <c r="F52" s="104" t="inlineStr"/>
      <c r="G52" s="104" t="inlineStr">
        <is>
          <t>【地市后台】垂直行业营销-行业人员认证管理-行业人员认证列表-导入已认证行业人员-接口开发，具体如下
： 1、</t>
        </is>
      </c>
      <c r="H52" s="103" t="inlineStr">
        <is>
          <t>新增</t>
        </is>
      </c>
      <c r="I52" s="105">
        <f>IF(E52="EI",4,IF(E52="EO",5,IF(E52="EQ",4,IF(E52="ILF",10,IF(E52="EIF",7,0)))))*IF(H52="修改",0.6,1)</f>
        <v/>
      </c>
      <c r="J52" s="106" t="n">
        <v>1</v>
      </c>
      <c r="K52" s="106" t="n">
        <v>1</v>
      </c>
      <c r="L52" s="105">
        <f>J52*K52</f>
        <v/>
      </c>
      <c r="M52" s="107" t="inlineStr"/>
      <c r="N52" t="inlineStr"/>
    </row>
    <row r="53" ht="62.15" customHeight="1" s="52">
      <c r="A53" s="103" t="n">
        <v>51</v>
      </c>
      <c r="B53" s="103" t="inlineStr">
        <is>
          <t>和乐业</t>
        </is>
      </c>
      <c r="C53" s="103" t="inlineStr">
        <is>
          <t>YXGJ-CZHY-01</t>
        </is>
      </c>
      <c r="D53" s="103" t="inlineStr">
        <is>
          <t>【地市后台】垂直行业营销-行业人员认证管理-行业人员认证列表-导出已认证行业人员-界面开发</t>
        </is>
      </c>
      <c r="E53" s="103" t="inlineStr">
        <is>
          <t>EI</t>
        </is>
      </c>
      <c r="F53" s="104" t="inlineStr"/>
      <c r="G53" s="104" t="inlineStr">
        <is>
          <t>【地市后台】垂直行业营销-行业人员认证管理-行业人员认证列表-导出已认证行业人员-界面开发，具体如下
： 1、</t>
        </is>
      </c>
      <c r="H53" s="103" t="inlineStr">
        <is>
          <t>新增</t>
        </is>
      </c>
      <c r="I53" s="105">
        <f>IF(E53="EI",4,IF(E53="EO",5,IF(E53="EQ",4,IF(E53="ILF",10,IF(E53="EIF",7,0)))))*IF(H53="修改",0.6,1)</f>
        <v/>
      </c>
      <c r="J53" s="106" t="n">
        <v>2</v>
      </c>
      <c r="K53" s="106" t="n">
        <v>1</v>
      </c>
      <c r="L53" s="105">
        <f>J53*K53</f>
        <v/>
      </c>
      <c r="M53" s="107" t="inlineStr"/>
      <c r="N53" t="inlineStr"/>
    </row>
    <row r="54" ht="74.55" customHeight="1" s="52">
      <c r="A54" s="103" t="n">
        <v>52</v>
      </c>
      <c r="B54" s="103" t="inlineStr">
        <is>
          <t>和乐业</t>
        </is>
      </c>
      <c r="C54" s="103" t="inlineStr">
        <is>
          <t>YXGJ-CZHY-01</t>
        </is>
      </c>
      <c r="D54" s="103" t="inlineStr">
        <is>
          <t>【地市后台】垂直行业营销-行业人员认证管理-行业人员认证列表-导出已认证行业人员-接口开发</t>
        </is>
      </c>
      <c r="E54" s="103" t="inlineStr">
        <is>
          <t>ILF</t>
        </is>
      </c>
      <c r="F54" s="104" t="inlineStr"/>
      <c r="G54" s="104" t="inlineStr">
        <is>
          <t>【地市后台】垂直行业营销-行业人员认证管理-行业人员认证列表-导出已认证行业人员-接口开发，具体如下
： 1、</t>
        </is>
      </c>
      <c r="H54" s="103" t="inlineStr">
        <is>
          <t>新增</t>
        </is>
      </c>
      <c r="I54" s="105">
        <f>IF(E54="EI",4,IF(E54="EO",5,IF(E54="EQ",4,IF(E54="ILF",10,IF(E54="EIF",7,0)))))*IF(H54="修改",0.6,1)</f>
        <v/>
      </c>
      <c r="J54" s="106" t="n">
        <v>1</v>
      </c>
      <c r="K54" s="106" t="n">
        <v>1</v>
      </c>
      <c r="L54" s="105">
        <f>J54*K54</f>
        <v/>
      </c>
      <c r="M54" s="107" t="inlineStr"/>
      <c r="N54" t="inlineStr"/>
    </row>
    <row r="55" ht="49.7" customHeight="1" s="52">
      <c r="A55" s="103" t="n">
        <v>53</v>
      </c>
      <c r="B55" s="103" t="inlineStr">
        <is>
          <t>和乐业</t>
        </is>
      </c>
      <c r="C55" s="103" t="inlineStr">
        <is>
          <t>YXGJ-CZHY-01</t>
        </is>
      </c>
      <c r="D55" s="103" t="inlineStr">
        <is>
          <t>【地市后台】垂直行业营销-行业人员认证管理-行业人员稽核列表-查询行业人员稽核数据-界面开发</t>
        </is>
      </c>
      <c r="E55" s="103" t="inlineStr">
        <is>
          <t>EI</t>
        </is>
      </c>
      <c r="F55" s="104" t="inlineStr"/>
      <c r="G55" s="104" t="inlineStr">
        <is>
          <t>【地市后台】垂直行业营销-行业人员认证管理-行业人员稽核列表-查询行业人员稽核数据-界面开发，具体如下
： 1、</t>
        </is>
      </c>
      <c r="H55" s="103" t="inlineStr">
        <is>
          <t>新增</t>
        </is>
      </c>
      <c r="I55" s="105">
        <f>IF(E55="EI",4,IF(E55="EO",5,IF(E55="EQ",4,IF(E55="ILF",10,IF(E55="EIF",7,0)))))*IF(H55="修改",0.6,1)</f>
        <v/>
      </c>
      <c r="J55" s="106" t="n">
        <v>2</v>
      </c>
      <c r="K55" s="106" t="n">
        <v>1</v>
      </c>
      <c r="L55" s="105">
        <f>J55*K55</f>
        <v/>
      </c>
      <c r="M55" s="107" t="inlineStr"/>
      <c r="N55" t="inlineStr"/>
    </row>
    <row r="56" ht="62.15" customHeight="1" s="52">
      <c r="A56" s="103" t="n">
        <v>54</v>
      </c>
      <c r="B56" s="103" t="inlineStr">
        <is>
          <t>和乐业</t>
        </is>
      </c>
      <c r="C56" s="103" t="inlineStr">
        <is>
          <t>YXGJ-CZHY-01</t>
        </is>
      </c>
      <c r="D56" s="103" t="inlineStr">
        <is>
          <t>【地市后台】垂直行业营销-行业人员认证管理-行业人员稽核列表-查询行业人员稽核数据-接口开发</t>
        </is>
      </c>
      <c r="E56" s="103" t="inlineStr">
        <is>
          <t>ILF</t>
        </is>
      </c>
      <c r="F56" s="104" t="inlineStr"/>
      <c r="G56" s="104" t="inlineStr">
        <is>
          <t>【地市后台】垂直行业营销-行业人员认证管理-行业人员稽核列表-查询行业人员稽核数据-接口开发，具体如下
： 1、</t>
        </is>
      </c>
      <c r="H56" s="103" t="inlineStr">
        <is>
          <t>新增</t>
        </is>
      </c>
      <c r="I56" s="105">
        <f>IF(E56="EI",4,IF(E56="EO",5,IF(E56="EQ",4,IF(E56="ILF",10,IF(E56="EIF",7,0)))))*IF(H56="修改",0.6,1)</f>
        <v/>
      </c>
      <c r="J56" s="106" t="n">
        <v>1</v>
      </c>
      <c r="K56" s="106" t="n">
        <v>1</v>
      </c>
      <c r="L56" s="105">
        <f>J56*K56</f>
        <v/>
      </c>
      <c r="M56" s="107" t="inlineStr"/>
      <c r="N56" t="inlineStr"/>
    </row>
    <row r="57" ht="74.55" customHeight="1" s="52">
      <c r="A57" s="103" t="n">
        <v>55</v>
      </c>
      <c r="B57" s="103" t="inlineStr">
        <is>
          <t>和乐业</t>
        </is>
      </c>
      <c r="C57" s="103" t="inlineStr">
        <is>
          <t>YXGJ-CZHY-01</t>
        </is>
      </c>
      <c r="D57" s="103" t="inlineStr">
        <is>
          <t>【地市后台】垂直行业营销-行业人员认证管理-行业人员稽核列表-导出行业人员稽核数据-界面开发</t>
        </is>
      </c>
      <c r="E57" s="103" t="inlineStr">
        <is>
          <t>EI</t>
        </is>
      </c>
      <c r="F57" s="104" t="inlineStr"/>
      <c r="G57" s="104" t="inlineStr">
        <is>
          <t>【地市后台】垂直行业营销-行业人员认证管理-行业人员稽核列表-导出行业人员稽核数据-界面开发，具体如下
： 1、</t>
        </is>
      </c>
      <c r="H57" s="103" t="inlineStr">
        <is>
          <t>新增</t>
        </is>
      </c>
      <c r="I57" s="105">
        <f>IF(E57="EI",4,IF(E57="EO",5,IF(E57="EQ",4,IF(E57="ILF",10,IF(E57="EIF",7,0)))))*IF(H57="修改",0.6,1)</f>
        <v/>
      </c>
      <c r="J57" s="106" t="n">
        <v>2</v>
      </c>
      <c r="K57" s="106" t="n">
        <v>1</v>
      </c>
      <c r="L57" s="105">
        <f>J57*K57</f>
        <v/>
      </c>
      <c r="M57" s="107" t="inlineStr"/>
      <c r="N57" t="inlineStr"/>
    </row>
    <row r="58" ht="62.15" customHeight="1" s="52">
      <c r="A58" s="103" t="n">
        <v>56</v>
      </c>
      <c r="B58" s="103" t="inlineStr">
        <is>
          <t>和乐业</t>
        </is>
      </c>
      <c r="C58" s="103" t="inlineStr">
        <is>
          <t>YXGJ-CZHY-01</t>
        </is>
      </c>
      <c r="D58" s="103" t="inlineStr">
        <is>
          <t>【地市后台】垂直行业营销-行业人员认证管理-行业人员稽核列表-导出行业人员稽核数据-接口开发</t>
        </is>
      </c>
      <c r="E58" s="103" t="inlineStr">
        <is>
          <t>ILF</t>
        </is>
      </c>
      <c r="F58" s="104" t="inlineStr"/>
      <c r="G58" s="104" t="inlineStr">
        <is>
          <t>【地市后台】垂直行业营销-行业人员认证管理-行业人员稽核列表-导出行业人员稽核数据-接口开发，具体如下
： 1、</t>
        </is>
      </c>
      <c r="H58" s="103" t="inlineStr">
        <is>
          <t>新增</t>
        </is>
      </c>
      <c r="I58" s="105">
        <f>IF(E58="EI",4,IF(E58="EO",5,IF(E58="EQ",4,IF(E58="ILF",10,IF(E58="EIF",7,0)))))*IF(H58="修改",0.6,1)</f>
        <v/>
      </c>
      <c r="J58" s="106" t="n">
        <v>1</v>
      </c>
      <c r="K58" s="106" t="n">
        <v>1</v>
      </c>
      <c r="L58" s="105">
        <f>J58*K58</f>
        <v/>
      </c>
      <c r="M58" s="107" t="inlineStr"/>
      <c r="N58" t="inlineStr"/>
    </row>
    <row r="59" ht="62.15" customHeight="1" s="52">
      <c r="A59" s="103" t="n">
        <v>57</v>
      </c>
      <c r="B59" s="103" t="inlineStr">
        <is>
          <t>和乐业</t>
        </is>
      </c>
      <c r="C59" s="103" t="inlineStr">
        <is>
          <t>YXGJ-CZHY-01</t>
        </is>
      </c>
      <c r="D59" s="103" t="inlineStr">
        <is>
          <t>【地市后台】垂直行业营销-行业人员认证管理-行业人员稽核列表-对行业人员进行稽核-界面开发</t>
        </is>
      </c>
      <c r="E59" s="103" t="inlineStr">
        <is>
          <t>EI</t>
        </is>
      </c>
      <c r="F59" s="104" t="inlineStr"/>
      <c r="G59" s="104" t="inlineStr">
        <is>
          <t>【地市后台】垂直行业营销-行业人员认证管理-行业人员稽核列表-对行业人员进行稽核-界面开发，具体如下
： 1、</t>
        </is>
      </c>
      <c r="H59" s="103" t="inlineStr">
        <is>
          <t>新增</t>
        </is>
      </c>
      <c r="I59" s="105">
        <f>IF(E59="EI",4,IF(E59="EO",5,IF(E59="EQ",4,IF(E59="ILF",10,IF(E59="EIF",7,0)))))*IF(H59="修改",0.6,1)</f>
        <v/>
      </c>
      <c r="J59" s="106" t="n">
        <v>2</v>
      </c>
      <c r="K59" s="106" t="n">
        <v>1</v>
      </c>
      <c r="L59" s="105">
        <f>J59*K59</f>
        <v/>
      </c>
      <c r="M59" s="107" t="inlineStr"/>
      <c r="N59" t="inlineStr"/>
    </row>
    <row r="60" ht="87" customHeight="1" s="52">
      <c r="A60" s="103" t="n">
        <v>58</v>
      </c>
      <c r="B60" s="103" t="inlineStr">
        <is>
          <t>和乐业</t>
        </is>
      </c>
      <c r="C60" s="103" t="inlineStr">
        <is>
          <t>YXGJ-CZHY-01</t>
        </is>
      </c>
      <c r="D60" s="103" t="inlineStr">
        <is>
          <t>【地市后台】垂直行业营销-行业人员认证管理-行业人员稽核列表-对行业人员进行稽核-接口开发</t>
        </is>
      </c>
      <c r="E60" s="103" t="inlineStr">
        <is>
          <t>ILF</t>
        </is>
      </c>
      <c r="F60" s="104" t="inlineStr"/>
      <c r="G60" s="104" t="inlineStr">
        <is>
          <t>【地市后台】垂直行业营销-行业人员认证管理-行业人员稽核列表-对行业人员进行稽核-接口开发，具体如下
： 1、</t>
        </is>
      </c>
      <c r="H60" s="103" t="inlineStr">
        <is>
          <t>新增</t>
        </is>
      </c>
      <c r="I60" s="105">
        <f>IF(E60="EI",4,IF(E60="EO",5,IF(E60="EQ",4,IF(E60="ILF",10,IF(E60="EIF",7,0)))))*IF(H60="修改",0.6,1)</f>
        <v/>
      </c>
      <c r="J60" s="106" t="n">
        <v>1</v>
      </c>
      <c r="K60" s="106" t="n">
        <v>1</v>
      </c>
      <c r="L60" s="105">
        <f>J60*K60</f>
        <v/>
      </c>
      <c r="M60" s="107" t="inlineStr"/>
      <c r="N60" t="inlineStr"/>
    </row>
    <row r="61" ht="62.15" customHeight="1" s="52">
      <c r="A61" s="103" t="n">
        <v>59</v>
      </c>
      <c r="B61" s="103" t="inlineStr">
        <is>
          <t>和乐业</t>
        </is>
      </c>
      <c r="C61" s="103" t="inlineStr">
        <is>
          <t>YXGJ-CZHY-01</t>
        </is>
      </c>
      <c r="D61" s="103" t="inlineStr">
        <is>
          <t>【地市后台】垂直行业营销-驿站管理-驿站列表-搜索驿站-界面开发</t>
        </is>
      </c>
      <c r="E61" s="103" t="inlineStr">
        <is>
          <t>EI</t>
        </is>
      </c>
      <c r="F61" s="104" t="inlineStr"/>
      <c r="G61" s="104" t="inlineStr">
        <is>
          <t>【地市后台】垂直行业营销-驿站管理-驿站列表-搜索驿站-界面开发，具体如下
： 1、</t>
        </is>
      </c>
      <c r="H61" s="103" t="inlineStr">
        <is>
          <t>新增</t>
        </is>
      </c>
      <c r="I61" s="105">
        <f>IF(E61="EI",4,IF(E61="EO",5,IF(E61="EQ",4,IF(E61="ILF",10,IF(E61="EIF",7,0)))))*IF(H61="修改",0.6,1)</f>
        <v/>
      </c>
      <c r="J61" s="106" t="n">
        <v>2</v>
      </c>
      <c r="K61" s="106" t="n">
        <v>1</v>
      </c>
      <c r="L61" s="105">
        <f>J61*K61</f>
        <v/>
      </c>
      <c r="M61" s="107" t="inlineStr"/>
      <c r="N61" t="inlineStr"/>
    </row>
    <row r="62" ht="99.45" customHeight="1" s="52">
      <c r="A62" s="103" t="n">
        <v>60</v>
      </c>
      <c r="B62" s="103" t="inlineStr">
        <is>
          <t>和乐业</t>
        </is>
      </c>
      <c r="C62" s="103" t="inlineStr">
        <is>
          <t>YXGJ-CZHY-01</t>
        </is>
      </c>
      <c r="D62" s="103" t="inlineStr">
        <is>
          <t>【地市后台】垂直行业营销-驿站管理-驿站列表-搜索驿站-接口开发</t>
        </is>
      </c>
      <c r="E62" s="103" t="inlineStr">
        <is>
          <t>ILF</t>
        </is>
      </c>
      <c r="F62" s="104" t="inlineStr"/>
      <c r="G62" s="104" t="inlineStr">
        <is>
          <t>【地市后台】垂直行业营销-驿站管理-驿站列表-搜索驿站-接口开发，具体如下
： 1、</t>
        </is>
      </c>
      <c r="H62" s="103" t="inlineStr">
        <is>
          <t>新增</t>
        </is>
      </c>
      <c r="I62" s="105">
        <f>IF(E62="EI",4,IF(E62="EO",5,IF(E62="EQ",4,IF(E62="ILF",10,IF(E62="EIF",7,0)))))*IF(H62="修改",0.6,1)</f>
        <v/>
      </c>
      <c r="J62" s="106" t="n">
        <v>1</v>
      </c>
      <c r="K62" s="106" t="n">
        <v>1</v>
      </c>
      <c r="L62" s="105">
        <f>J62*K62</f>
        <v/>
      </c>
      <c r="M62" s="107" t="inlineStr"/>
      <c r="N62" t="inlineStr"/>
    </row>
    <row r="63" ht="62.15" customHeight="1" s="52">
      <c r="A63" s="103" t="n">
        <v>61</v>
      </c>
      <c r="B63" s="103" t="inlineStr">
        <is>
          <t>和乐业</t>
        </is>
      </c>
      <c r="C63" s="103" t="inlineStr">
        <is>
          <t>YXGJ-CZHY-01</t>
        </is>
      </c>
      <c r="D63" s="103" t="inlineStr">
        <is>
          <t>【地市后台】垂直行业营销-驿站管理-驿站列表-添加驿站-界面开发</t>
        </is>
      </c>
      <c r="E63" s="103" t="inlineStr">
        <is>
          <t>EI</t>
        </is>
      </c>
      <c r="F63" s="104" t="inlineStr"/>
      <c r="G63" s="104" t="inlineStr">
        <is>
          <t>【地市后台】垂直行业营销-驿站管理-驿站列表-添加驿站-界面开发，具体如下
： 1、</t>
        </is>
      </c>
      <c r="H63" s="103" t="inlineStr">
        <is>
          <t>新增</t>
        </is>
      </c>
      <c r="I63" s="105">
        <f>IF(E63="EI",4,IF(E63="EO",5,IF(E63="EQ",4,IF(E63="ILF",10,IF(E63="EIF",7,0)))))*IF(H63="修改",0.6,1)</f>
        <v/>
      </c>
      <c r="J63" s="106" t="n">
        <v>2</v>
      </c>
      <c r="K63" s="106" t="n">
        <v>1</v>
      </c>
      <c r="L63" s="105">
        <f>J63*K63</f>
        <v/>
      </c>
      <c r="M63" s="107" t="inlineStr"/>
      <c r="N63" t="inlineStr"/>
    </row>
    <row r="64" ht="62.15" customHeight="1" s="52">
      <c r="A64" s="103" t="n">
        <v>62</v>
      </c>
      <c r="B64" s="103" t="inlineStr">
        <is>
          <t>和乐业</t>
        </is>
      </c>
      <c r="C64" s="103" t="inlineStr">
        <is>
          <t>YXGJ-CZHY-01</t>
        </is>
      </c>
      <c r="D64" s="103" t="inlineStr">
        <is>
          <t>【地市后台】垂直行业营销-驿站管理-驿站列表-添加驿站-接口开发</t>
        </is>
      </c>
      <c r="E64" s="103" t="inlineStr">
        <is>
          <t>ILF</t>
        </is>
      </c>
      <c r="F64" s="104" t="inlineStr"/>
      <c r="G64" s="104" t="inlineStr">
        <is>
          <t>【地市后台】垂直行业营销-驿站管理-驿站列表-添加驿站-接口开发，具体如下
： 1、</t>
        </is>
      </c>
      <c r="H64" s="103" t="inlineStr">
        <is>
          <t>新增</t>
        </is>
      </c>
      <c r="I64" s="105">
        <f>IF(E64="EI",4,IF(E64="EO",5,IF(E64="EQ",4,IF(E64="ILF",10,IF(E64="EIF",7,0)))))*IF(H64="修改",0.6,1)</f>
        <v/>
      </c>
      <c r="J64" s="106" t="n">
        <v>1</v>
      </c>
      <c r="K64" s="106" t="n">
        <v>1</v>
      </c>
      <c r="L64" s="105">
        <f>J64*K64</f>
        <v/>
      </c>
      <c r="M64" s="107" t="inlineStr"/>
      <c r="N64" t="inlineStr"/>
    </row>
    <row r="65" ht="62.15" customHeight="1" s="52">
      <c r="A65" s="103" t="n">
        <v>63</v>
      </c>
      <c r="B65" s="103" t="inlineStr">
        <is>
          <t>和乐业</t>
        </is>
      </c>
      <c r="C65" s="103" t="inlineStr">
        <is>
          <t>YXGJ-CZHY-01</t>
        </is>
      </c>
      <c r="D65" s="103" t="inlineStr">
        <is>
          <t>【地市后台】垂直行业营销-驿站管理-驿站列表-编辑驿站信息-界面开发</t>
        </is>
      </c>
      <c r="E65" s="103" t="inlineStr">
        <is>
          <t>EI</t>
        </is>
      </c>
      <c r="F65" s="104" t="inlineStr"/>
      <c r="G65" s="104" t="inlineStr">
        <is>
          <t>【地市后台】垂直行业营销-驿站管理-驿站列表-编辑驿站信息-界面开发，具体如下
： 1、</t>
        </is>
      </c>
      <c r="H65" s="103" t="inlineStr">
        <is>
          <t>新增</t>
        </is>
      </c>
      <c r="I65" s="105">
        <f>IF(E65="EI",4,IF(E65="EO",5,IF(E65="EQ",4,IF(E65="ILF",10,IF(E65="EIF",7,0)))))*IF(H65="修改",0.6,1)</f>
        <v/>
      </c>
      <c r="J65" s="106" t="n">
        <v>2</v>
      </c>
      <c r="K65" s="106" t="n">
        <v>1</v>
      </c>
      <c r="L65" s="105">
        <f>J65*K65</f>
        <v/>
      </c>
      <c r="M65" s="107" t="inlineStr"/>
      <c r="N65" t="inlineStr"/>
    </row>
    <row r="66" ht="111.85" customHeight="1" s="52">
      <c r="A66" s="103" t="n">
        <v>64</v>
      </c>
      <c r="B66" s="103" t="inlineStr">
        <is>
          <t>和乐业</t>
        </is>
      </c>
      <c r="C66" s="103" t="inlineStr">
        <is>
          <t>YXGJ-CZHY-01</t>
        </is>
      </c>
      <c r="D66" s="103" t="inlineStr">
        <is>
          <t>【地市后台】垂直行业营销-驿站管理-驿站列表-编辑驿站信息-接口开发</t>
        </is>
      </c>
      <c r="E66" s="103" t="inlineStr">
        <is>
          <t>ILF</t>
        </is>
      </c>
      <c r="F66" s="104" t="inlineStr"/>
      <c r="G66" s="104" t="inlineStr">
        <is>
          <t>【地市后台】垂直行业营销-驿站管理-驿站列表-编辑驿站信息-接口开发，具体如下
： 1、</t>
        </is>
      </c>
      <c r="H66" s="103" t="inlineStr">
        <is>
          <t>新增</t>
        </is>
      </c>
      <c r="I66" s="105">
        <f>IF(E66="EI",4,IF(E66="EO",5,IF(E66="EQ",4,IF(E66="ILF",10,IF(E66="EIF",7,0)))))*IF(H66="修改",0.6,1)</f>
        <v/>
      </c>
      <c r="J66" s="106" t="n">
        <v>1</v>
      </c>
      <c r="K66" s="106" t="n">
        <v>1</v>
      </c>
      <c r="L66" s="105">
        <f>J66*K66</f>
        <v/>
      </c>
      <c r="M66" s="107" t="inlineStr"/>
      <c r="N66" t="inlineStr"/>
    </row>
    <row r="67" ht="62.15" customHeight="1" s="52">
      <c r="A67" s="103" t="n">
        <v>65</v>
      </c>
      <c r="B67" s="103" t="inlineStr">
        <is>
          <t>和乐业</t>
        </is>
      </c>
      <c r="C67" s="103" t="inlineStr">
        <is>
          <t>YXGJ-CZHY-01</t>
        </is>
      </c>
      <c r="D67" s="103" t="inlineStr">
        <is>
          <t>【地市后台】垂直行业营销-驿站管理-驿站列表-删除驿站-界面开发</t>
        </is>
      </c>
      <c r="E67" s="103" t="inlineStr">
        <is>
          <t>EI</t>
        </is>
      </c>
      <c r="F67" s="104" t="inlineStr"/>
      <c r="G67" s="104" t="inlineStr">
        <is>
          <t>【地市后台】垂直行业营销-驿站管理-驿站列表-删除驿站-界面开发，具体如下
： 1、</t>
        </is>
      </c>
      <c r="H67" s="103" t="inlineStr">
        <is>
          <t>新增</t>
        </is>
      </c>
      <c r="I67" s="105">
        <f>IF(E67="EI",4,IF(E67="EO",5,IF(E67="EQ",4,IF(E67="ILF",10,IF(E67="EIF",7,0)))))*IF(H67="修改",0.6,1)</f>
        <v/>
      </c>
      <c r="J67" s="106" t="n">
        <v>2</v>
      </c>
      <c r="K67" s="106" t="n">
        <v>1</v>
      </c>
      <c r="L67" s="105">
        <f>J67*K67</f>
        <v/>
      </c>
      <c r="M67" s="107" t="inlineStr"/>
      <c r="N67" t="inlineStr"/>
    </row>
    <row r="68" ht="99.45" customHeight="1" s="52">
      <c r="A68" s="103" t="n">
        <v>66</v>
      </c>
      <c r="B68" s="103" t="inlineStr">
        <is>
          <t>和乐业</t>
        </is>
      </c>
      <c r="C68" s="103" t="inlineStr">
        <is>
          <t>YXGJ-CZHY-01</t>
        </is>
      </c>
      <c r="D68" s="103" t="inlineStr">
        <is>
          <t>【地市后台】垂直行业营销-驿站管理-驿站列表-删除驿站-接口开发</t>
        </is>
      </c>
      <c r="E68" s="103" t="inlineStr">
        <is>
          <t>ILF</t>
        </is>
      </c>
      <c r="F68" s="104" t="inlineStr"/>
      <c r="G68" s="104" t="inlineStr">
        <is>
          <t>【地市后台】垂直行业营销-驿站管理-驿站列表-删除驿站-接口开发，具体如下
： 1、</t>
        </is>
      </c>
      <c r="H68" s="103" t="inlineStr">
        <is>
          <t>新增</t>
        </is>
      </c>
      <c r="I68" s="105">
        <f>IF(E68="EI",4,IF(E68="EO",5,IF(E68="EQ",4,IF(E68="ILF",10,IF(E68="EIF",7,0)))))*IF(H68="修改",0.6,1)</f>
        <v/>
      </c>
      <c r="J68" s="106" t="n">
        <v>1</v>
      </c>
      <c r="K68" s="106" t="n">
        <v>1</v>
      </c>
      <c r="L68" s="105">
        <f>J68*K68</f>
        <v/>
      </c>
      <c r="M68" s="107" t="inlineStr"/>
      <c r="N68" t="inlineStr"/>
    </row>
    <row r="69" ht="136.7" customHeight="1" s="52">
      <c r="A69" s="103" t="n">
        <v>67</v>
      </c>
      <c r="B69" s="103" t="inlineStr">
        <is>
          <t>和乐业</t>
        </is>
      </c>
      <c r="C69" s="103" t="inlineStr">
        <is>
          <t>YXGJ-CZHY-01</t>
        </is>
      </c>
      <c r="D69" s="103" t="inlineStr">
        <is>
          <t>【地市后台】垂直行业营销-驿站管理-驿站列表-更改驿站状态-界面开发</t>
        </is>
      </c>
      <c r="E69" s="103" t="inlineStr">
        <is>
          <t>EI</t>
        </is>
      </c>
      <c r="F69" s="104" t="inlineStr"/>
      <c r="G69" s="104" t="inlineStr">
        <is>
          <t>【地市后台】垂直行业营销-驿站管理-驿站列表-更改驿站状态-界面开发，具体如下
： 1、</t>
        </is>
      </c>
      <c r="H69" s="103" t="inlineStr">
        <is>
          <t>新增</t>
        </is>
      </c>
      <c r="I69" s="105">
        <f>IF(E69="EI",4,IF(E69="EO",5,IF(E69="EQ",4,IF(E69="ILF",10,IF(E69="EIF",7,0)))))*IF(H69="修改",0.6,1)</f>
        <v/>
      </c>
      <c r="J69" s="106" t="n">
        <v>2</v>
      </c>
      <c r="K69" s="106" t="n">
        <v>1</v>
      </c>
      <c r="L69" s="105">
        <f>J69*K69</f>
        <v/>
      </c>
      <c r="M69" s="107" t="inlineStr"/>
      <c r="N69" t="inlineStr"/>
    </row>
    <row r="70" ht="49.7" customHeight="1" s="52">
      <c r="A70" s="103" t="n">
        <v>68</v>
      </c>
      <c r="B70" s="103" t="inlineStr">
        <is>
          <t>和乐业</t>
        </is>
      </c>
      <c r="C70" s="103" t="inlineStr">
        <is>
          <t>YXGJ-CZHY-01</t>
        </is>
      </c>
      <c r="D70" s="103" t="inlineStr">
        <is>
          <t>【地市后台】垂直行业营销-驿站管理-驿站列表-更改驿站状态-接口开发</t>
        </is>
      </c>
      <c r="E70" s="103" t="inlineStr">
        <is>
          <t>ILF</t>
        </is>
      </c>
      <c r="F70" s="104" t="inlineStr"/>
      <c r="G70" s="104" t="inlineStr">
        <is>
          <t>【地市后台】垂直行业营销-驿站管理-驿站列表-更改驿站状态-接口开发，具体如下
： 1、</t>
        </is>
      </c>
      <c r="H70" s="103" t="inlineStr">
        <is>
          <t>新增</t>
        </is>
      </c>
      <c r="I70" s="105">
        <f>IF(E70="EI",4,IF(E70="EO",5,IF(E70="EQ",4,IF(E70="ILF",10,IF(E70="EIF",7,0)))))*IF(H70="修改",0.6,1)</f>
        <v/>
      </c>
      <c r="J70" s="106" t="n">
        <v>1</v>
      </c>
      <c r="K70" s="106" t="n">
        <v>1</v>
      </c>
      <c r="L70" s="105">
        <f>J70*K70</f>
        <v/>
      </c>
      <c r="M70" s="107" t="inlineStr"/>
      <c r="N70" t="inlineStr"/>
    </row>
    <row r="71" ht="124.3" customHeight="1" s="52">
      <c r="A71" s="103" t="n">
        <v>69</v>
      </c>
      <c r="B71" s="103" t="inlineStr">
        <is>
          <t>和乐业</t>
        </is>
      </c>
      <c r="C71" s="103" t="inlineStr">
        <is>
          <t>YXGJ-CZHY-01</t>
        </is>
      </c>
      <c r="D71" s="103" t="inlineStr">
        <is>
          <t>【地市后台】垂直行业营销-驿站管理-驿站列表-批量导入创建驿站-界面开发</t>
        </is>
      </c>
      <c r="E71" s="103" t="inlineStr">
        <is>
          <t>EI</t>
        </is>
      </c>
      <c r="F71" s="104" t="inlineStr"/>
      <c r="G71" s="104" t="inlineStr">
        <is>
          <t>【地市后台】垂直行业营销-驿站管理-驿站列表-批量导入创建驿站-界面开发，具体如下
： 1、</t>
        </is>
      </c>
      <c r="H71" s="103" t="inlineStr">
        <is>
          <t>新增</t>
        </is>
      </c>
      <c r="I71" s="105">
        <f>IF(E71="EI",4,IF(E71="EO",5,IF(E71="EQ",4,IF(E71="ILF",10,IF(E71="EIF",7,0)))))*IF(H71="修改",0.6,1)</f>
        <v/>
      </c>
      <c r="J71" s="106" t="n">
        <v>2</v>
      </c>
      <c r="K71" s="106" t="n">
        <v>1</v>
      </c>
      <c r="L71" s="105">
        <f>J71*K71</f>
        <v/>
      </c>
      <c r="M71" s="107" t="inlineStr"/>
      <c r="N71" t="inlineStr"/>
    </row>
    <row r="72" ht="87" customHeight="1" s="52">
      <c r="A72" s="103" t="n">
        <v>70</v>
      </c>
      <c r="B72" s="103" t="inlineStr">
        <is>
          <t>和乐业</t>
        </is>
      </c>
      <c r="C72" s="103" t="inlineStr">
        <is>
          <t>YXGJ-CZHY-01</t>
        </is>
      </c>
      <c r="D72" s="103" t="inlineStr">
        <is>
          <t>【地市后台】垂直行业营销-驿站管理-驿站列表-批量导入创建驿站-接口开发</t>
        </is>
      </c>
      <c r="E72" s="103" t="inlineStr">
        <is>
          <t>ILF</t>
        </is>
      </c>
      <c r="F72" s="104" t="inlineStr"/>
      <c r="G72" s="104" t="inlineStr">
        <is>
          <t>【地市后台】垂直行业营销-驿站管理-驿站列表-批量导入创建驿站-接口开发，具体如下
： 1、</t>
        </is>
      </c>
      <c r="H72" s="103" t="inlineStr">
        <is>
          <t>新增</t>
        </is>
      </c>
      <c r="I72" s="105">
        <f>IF(E72="EI",4,IF(E72="EO",5,IF(E72="EQ",4,IF(E72="ILF",10,IF(E72="EIF",7,0)))))*IF(H72="修改",0.6,1)</f>
        <v/>
      </c>
      <c r="J72" s="106" t="n">
        <v>1</v>
      </c>
      <c r="K72" s="106" t="n">
        <v>1</v>
      </c>
      <c r="L72" s="105">
        <f>J72*K72</f>
        <v/>
      </c>
      <c r="M72" s="107" t="inlineStr"/>
      <c r="N72" t="inlineStr"/>
    </row>
    <row r="73" ht="111.85" customHeight="1" s="52">
      <c r="A73" s="103" t="n">
        <v>71</v>
      </c>
      <c r="B73" s="103" t="inlineStr">
        <is>
          <t>和乐业</t>
        </is>
      </c>
      <c r="C73" s="103" t="inlineStr">
        <is>
          <t>YXGJ-CZHY-01</t>
        </is>
      </c>
      <c r="D73" s="103" t="inlineStr">
        <is>
          <t>【地市后台】垂直行业营销-签到管理-签到奖品配置-签到列表数据查询-界面开发</t>
        </is>
      </c>
      <c r="E73" s="103" t="inlineStr">
        <is>
          <t>EI</t>
        </is>
      </c>
      <c r="F73" s="104" t="inlineStr"/>
      <c r="G73" s="104" t="inlineStr">
        <is>
          <t>【地市后台】垂直行业营销-签到管理-签到奖品配置-签到列表数据查询-界面开发，具体如下
： 1、</t>
        </is>
      </c>
      <c r="H73" s="103" t="inlineStr">
        <is>
          <t>新增</t>
        </is>
      </c>
      <c r="I73" s="105">
        <f>IF(E73="EI",4,IF(E73="EO",5,IF(E73="EQ",4,IF(E73="ILF",10,IF(E73="EIF",7,0)))))*IF(H73="修改",0.6,1)</f>
        <v/>
      </c>
      <c r="J73" s="106" t="n">
        <v>2</v>
      </c>
      <c r="K73" s="106" t="n">
        <v>1</v>
      </c>
      <c r="L73" s="105">
        <f>J73*K73</f>
        <v/>
      </c>
      <c r="M73" s="107" t="inlineStr"/>
      <c r="N73" t="inlineStr"/>
    </row>
    <row r="74" ht="49.7" customHeight="1" s="52">
      <c r="A74" s="103" t="n">
        <v>72</v>
      </c>
      <c r="B74" s="103" t="inlineStr">
        <is>
          <t>和乐业</t>
        </is>
      </c>
      <c r="C74" s="103" t="inlineStr">
        <is>
          <t>YXGJ-CZHY-01</t>
        </is>
      </c>
      <c r="D74" s="103" t="inlineStr">
        <is>
          <t>【地市后台】垂直行业营销-签到管理-签到奖品配置-签到列表数据查询-接口开发</t>
        </is>
      </c>
      <c r="E74" s="103" t="inlineStr">
        <is>
          <t>ILF</t>
        </is>
      </c>
      <c r="F74" s="104" t="inlineStr"/>
      <c r="G74" s="104" t="inlineStr">
        <is>
          <t>【地市后台】垂直行业营销-签到管理-签到奖品配置-签到列表数据查询-接口开发，具体如下
： 1、</t>
        </is>
      </c>
      <c r="H74" s="103" t="inlineStr">
        <is>
          <t>新增</t>
        </is>
      </c>
      <c r="I74" s="105">
        <f>IF(E74="EI",4,IF(E74="EO",5,IF(E74="EQ",4,IF(E74="ILF",10,IF(E74="EIF",7,0)))))*IF(H74="修改",0.6,1)</f>
        <v/>
      </c>
      <c r="J74" s="106" t="n">
        <v>1</v>
      </c>
      <c r="K74" s="106" t="n">
        <v>1</v>
      </c>
      <c r="L74" s="105">
        <f>J74*K74</f>
        <v/>
      </c>
      <c r="M74" s="107" t="inlineStr"/>
      <c r="N74" t="inlineStr"/>
    </row>
    <row r="75" ht="99.45" customHeight="1" s="52">
      <c r="A75" s="103" t="n">
        <v>73</v>
      </c>
      <c r="B75" s="103" t="inlineStr">
        <is>
          <t>和乐业</t>
        </is>
      </c>
      <c r="C75" s="103" t="inlineStr">
        <is>
          <t>YXGJ-CZHY-01</t>
        </is>
      </c>
      <c r="D75" s="103" t="inlineStr">
        <is>
          <t>【地市后台】垂直行业营销-签到管理-签到奖品配置-添加签到奖品数据-界面开发</t>
        </is>
      </c>
      <c r="E75" s="103" t="inlineStr">
        <is>
          <t>EI</t>
        </is>
      </c>
      <c r="F75" s="104" t="inlineStr"/>
      <c r="G75" s="104" t="inlineStr">
        <is>
          <t>【地市后台】垂直行业营销-签到管理-签到奖品配置-添加签到奖品数据-界面开发，具体如下
： 1、</t>
        </is>
      </c>
      <c r="H75" s="103" t="inlineStr">
        <is>
          <t>新增</t>
        </is>
      </c>
      <c r="I75" s="105">
        <f>IF(E75="EI",4,IF(E75="EO",5,IF(E75="EQ",4,IF(E75="ILF",10,IF(E75="EIF",7,0)))))*IF(H75="修改",0.6,1)</f>
        <v/>
      </c>
      <c r="J75" s="106" t="n">
        <v>2</v>
      </c>
      <c r="K75" s="106" t="n">
        <v>1</v>
      </c>
      <c r="L75" s="105">
        <f>J75*K75</f>
        <v/>
      </c>
      <c r="M75" s="107" t="inlineStr"/>
      <c r="N75" t="inlineStr"/>
    </row>
    <row r="76" ht="62.15" customHeight="1" s="52">
      <c r="A76" s="103" t="n">
        <v>74</v>
      </c>
      <c r="B76" s="103" t="inlineStr">
        <is>
          <t>和乐业</t>
        </is>
      </c>
      <c r="C76" s="103" t="inlineStr">
        <is>
          <t>YXGJ-CZHY-01</t>
        </is>
      </c>
      <c r="D76" s="103" t="inlineStr">
        <is>
          <t>【地市后台】垂直行业营销-签到管理-签到奖品配置-添加签到奖品数据-接口开发</t>
        </is>
      </c>
      <c r="E76" s="103" t="inlineStr">
        <is>
          <t>ILF</t>
        </is>
      </c>
      <c r="F76" s="104" t="inlineStr"/>
      <c r="G76" s="104" t="inlineStr">
        <is>
          <t>【地市后台】垂直行业营销-签到管理-签到奖品配置-添加签到奖品数据-接口开发，具体如下
： 1、</t>
        </is>
      </c>
      <c r="H76" s="103" t="inlineStr">
        <is>
          <t>新增</t>
        </is>
      </c>
      <c r="I76" s="105">
        <f>IF(E76="EI",4,IF(E76="EO",5,IF(E76="EQ",4,IF(E76="ILF",10,IF(E76="EIF",7,0)))))*IF(H76="修改",0.6,1)</f>
        <v/>
      </c>
      <c r="J76" s="106" t="n">
        <v>1</v>
      </c>
      <c r="K76" s="106" t="n">
        <v>1</v>
      </c>
      <c r="L76" s="105">
        <f>J76*K76</f>
        <v/>
      </c>
      <c r="M76" s="107" t="inlineStr"/>
      <c r="N76" t="inlineStr"/>
    </row>
    <row r="77" ht="99.45" customHeight="1" s="52">
      <c r="A77" s="103" t="n">
        <v>75</v>
      </c>
      <c r="B77" s="103" t="inlineStr">
        <is>
          <t>和乐业</t>
        </is>
      </c>
      <c r="C77" s="103" t="inlineStr">
        <is>
          <t>YXGJ-CZHY-01</t>
        </is>
      </c>
      <c r="D77" s="103" t="inlineStr">
        <is>
          <t>【地市后台】垂直行业营销-签到管理-签到奖品配置-查询奖品数据-界面开发</t>
        </is>
      </c>
      <c r="E77" s="103" t="inlineStr">
        <is>
          <t>EI</t>
        </is>
      </c>
      <c r="F77" s="104" t="inlineStr"/>
      <c r="G77" s="104" t="inlineStr">
        <is>
          <t>【地市后台】垂直行业营销-签到管理-签到奖品配置-查询奖品数据-界面开发，具体如下
： 1、</t>
        </is>
      </c>
      <c r="H77" s="103" t="inlineStr">
        <is>
          <t>新增</t>
        </is>
      </c>
      <c r="I77" s="105">
        <f>IF(E77="EI",4,IF(E77="EO",5,IF(E77="EQ",4,IF(E77="ILF",10,IF(E77="EIF",7,0)))))*IF(H77="修改",0.6,1)</f>
        <v/>
      </c>
      <c r="J77" s="106" t="n">
        <v>2</v>
      </c>
      <c r="K77" s="106" t="n">
        <v>1</v>
      </c>
      <c r="L77" s="105">
        <f>J77*K77</f>
        <v/>
      </c>
      <c r="M77" s="107" t="inlineStr"/>
      <c r="N77" t="inlineStr"/>
    </row>
    <row r="78" ht="74.55" customHeight="1" s="52">
      <c r="A78" s="103" t="n">
        <v>76</v>
      </c>
      <c r="B78" s="103" t="inlineStr">
        <is>
          <t>和乐业</t>
        </is>
      </c>
      <c r="C78" s="103" t="inlineStr">
        <is>
          <t>YXGJ-CZHY-01</t>
        </is>
      </c>
      <c r="D78" s="103" t="inlineStr">
        <is>
          <t>【地市后台】垂直行业营销-签到管理-签到奖品配置-查询奖品数据-接口开发</t>
        </is>
      </c>
      <c r="E78" s="103" t="inlineStr">
        <is>
          <t>ILF</t>
        </is>
      </c>
      <c r="F78" s="104" t="inlineStr"/>
      <c r="G78" s="104" t="inlineStr">
        <is>
          <t>【地市后台】垂直行业营销-签到管理-签到奖品配置-查询奖品数据-接口开发，具体如下
： 1、</t>
        </is>
      </c>
      <c r="H78" s="103" t="inlineStr">
        <is>
          <t>新增</t>
        </is>
      </c>
      <c r="I78" s="105">
        <f>IF(E78="EI",4,IF(E78="EO",5,IF(E78="EQ",4,IF(E78="ILF",10,IF(E78="EIF",7,0)))))*IF(H78="修改",0.6,1)</f>
        <v/>
      </c>
      <c r="J78" s="106" t="n">
        <v>1</v>
      </c>
      <c r="K78" s="106" t="n">
        <v>1</v>
      </c>
      <c r="L78" s="105">
        <f>J78*K78</f>
        <v/>
      </c>
      <c r="M78" s="107" t="inlineStr"/>
      <c r="N78" t="inlineStr"/>
    </row>
    <row r="79" ht="87" customHeight="1" s="52">
      <c r="A79" s="103" t="n">
        <v>77</v>
      </c>
      <c r="B79" s="103" t="inlineStr">
        <is>
          <t>和乐业</t>
        </is>
      </c>
      <c r="C79" s="103" t="inlineStr">
        <is>
          <t>YXGJ-CZHY-01</t>
        </is>
      </c>
      <c r="D79" s="103" t="inlineStr">
        <is>
          <t>【地市后台】垂直行业营销-签到管理-签到奖品配置-编辑奖品数据-界面开发</t>
        </is>
      </c>
      <c r="E79" s="103" t="inlineStr">
        <is>
          <t>EI</t>
        </is>
      </c>
      <c r="F79" s="104" t="inlineStr"/>
      <c r="G79" s="104" t="inlineStr">
        <is>
          <t>【地市后台】垂直行业营销-签到管理-签到奖品配置-编辑奖品数据-界面开发，具体如下
： 1、</t>
        </is>
      </c>
      <c r="H79" s="103" t="inlineStr">
        <is>
          <t>新增</t>
        </is>
      </c>
      <c r="I79" s="105">
        <f>IF(E79="EI",4,IF(E79="EO",5,IF(E79="EQ",4,IF(E79="ILF",10,IF(E79="EIF",7,0)))))*IF(H79="修改",0.6,1)</f>
        <v/>
      </c>
      <c r="J79" s="106" t="n">
        <v>2</v>
      </c>
      <c r="K79" s="106" t="n">
        <v>1</v>
      </c>
      <c r="L79" s="105">
        <f>J79*K79</f>
        <v/>
      </c>
      <c r="M79" s="107" t="inlineStr"/>
      <c r="N79" t="inlineStr"/>
    </row>
    <row r="80" ht="136.7" customHeight="1" s="52">
      <c r="A80" s="103" t="n">
        <v>78</v>
      </c>
      <c r="B80" s="103" t="inlineStr">
        <is>
          <t>和乐业</t>
        </is>
      </c>
      <c r="C80" s="103" t="inlineStr">
        <is>
          <t>YXGJ-CZHY-01</t>
        </is>
      </c>
      <c r="D80" s="103" t="inlineStr">
        <is>
          <t>【地市后台】垂直行业营销-签到管理-签到奖品配置-编辑奖品数据-接口开发</t>
        </is>
      </c>
      <c r="E80" s="103" t="inlineStr">
        <is>
          <t>ILF</t>
        </is>
      </c>
      <c r="F80" s="104" t="inlineStr"/>
      <c r="G80" s="104" t="inlineStr">
        <is>
          <t>【地市后台】垂直行业营销-签到管理-签到奖品配置-编辑奖品数据-接口开发，具体如下
： 1、</t>
        </is>
      </c>
      <c r="H80" s="103" t="inlineStr">
        <is>
          <t>新增</t>
        </is>
      </c>
      <c r="I80" s="105">
        <f>IF(E80="EI",4,IF(E80="EO",5,IF(E80="EQ",4,IF(E80="ILF",10,IF(E80="EIF",7,0)))))*IF(H80="修改",0.6,1)</f>
        <v/>
      </c>
      <c r="J80" s="106" t="n">
        <v>1</v>
      </c>
      <c r="K80" s="106" t="n">
        <v>1</v>
      </c>
      <c r="L80" s="105">
        <f>J80*K80</f>
        <v/>
      </c>
      <c r="M80" s="107" t="inlineStr"/>
      <c r="N80" t="inlineStr"/>
    </row>
    <row r="81" ht="136.7" customHeight="1" s="52">
      <c r="A81" s="103" t="n">
        <v>79</v>
      </c>
      <c r="B81" s="103" t="inlineStr">
        <is>
          <t>和乐业</t>
        </is>
      </c>
      <c r="C81" s="103" t="inlineStr">
        <is>
          <t>YXGJ-CZHY-01</t>
        </is>
      </c>
      <c r="D81" s="103" t="inlineStr">
        <is>
          <t>【地市后台】垂直行业营销-签到管理-签到奖品配置-删除奖品数据-界面开发</t>
        </is>
      </c>
      <c r="E81" s="103" t="inlineStr">
        <is>
          <t>EI</t>
        </is>
      </c>
      <c r="F81" s="104" t="inlineStr"/>
      <c r="G81" s="104" t="inlineStr">
        <is>
          <t>【地市后台】垂直行业营销-签到管理-签到奖品配置-删除奖品数据-界面开发，具体如下
： 1、</t>
        </is>
      </c>
      <c r="H81" s="103" t="inlineStr">
        <is>
          <t>新增</t>
        </is>
      </c>
      <c r="I81" s="105">
        <f>IF(E81="EI",4,IF(E81="EO",5,IF(E81="EQ",4,IF(E81="ILF",10,IF(E81="EIF",7,0)))))*IF(H81="修改",0.6,1)</f>
        <v/>
      </c>
      <c r="J81" s="106" t="n">
        <v>2</v>
      </c>
      <c r="K81" s="106" t="n">
        <v>1</v>
      </c>
      <c r="L81" s="105">
        <f>J81*K81</f>
        <v/>
      </c>
      <c r="M81" s="107" t="inlineStr"/>
      <c r="N81" t="inlineStr"/>
    </row>
    <row r="82" ht="87" customHeight="1" s="52">
      <c r="A82" s="103" t="n">
        <v>80</v>
      </c>
      <c r="B82" s="103" t="inlineStr">
        <is>
          <t>和乐业</t>
        </is>
      </c>
      <c r="C82" s="103" t="inlineStr">
        <is>
          <t>YXGJ-CZHY-01</t>
        </is>
      </c>
      <c r="D82" s="103" t="inlineStr">
        <is>
          <t>【地市后台】垂直行业营销-签到管理-签到奖品配置-删除奖品数据-接口开发</t>
        </is>
      </c>
      <c r="E82" s="103" t="inlineStr">
        <is>
          <t>ILF</t>
        </is>
      </c>
      <c r="F82" s="104" t="inlineStr"/>
      <c r="G82" s="104" t="inlineStr">
        <is>
          <t>【地市后台】垂直行业营销-签到管理-签到奖品配置-删除奖品数据-接口开发，具体如下
： 1、</t>
        </is>
      </c>
      <c r="H82" s="103" t="inlineStr">
        <is>
          <t>新增</t>
        </is>
      </c>
      <c r="I82" s="105">
        <f>IF(E82="EI",4,IF(E82="EO",5,IF(E82="EQ",4,IF(E82="ILF",10,IF(E82="EIF",7,0)))))*IF(H82="修改",0.6,1)</f>
        <v/>
      </c>
      <c r="J82" s="106" t="n">
        <v>1</v>
      </c>
      <c r="K82" s="106" t="n">
        <v>1</v>
      </c>
      <c r="L82" s="105">
        <f>J82*K82</f>
        <v/>
      </c>
      <c r="M82" s="107" t="inlineStr"/>
      <c r="N82" t="inlineStr"/>
    </row>
    <row r="83" ht="62.15" customHeight="1" s="52">
      <c r="A83" s="103" t="n">
        <v>81</v>
      </c>
      <c r="B83" s="103" t="inlineStr">
        <is>
          <t>和乐业</t>
        </is>
      </c>
      <c r="C83" s="103" t="inlineStr">
        <is>
          <t>YXGJ-CZHY-01</t>
        </is>
      </c>
      <c r="D83" s="103" t="inlineStr">
        <is>
          <t>【地市后台】垂直行业营销-签到管理-签到奖品配置-导出奖品数据-界面开发</t>
        </is>
      </c>
      <c r="E83" s="103" t="inlineStr">
        <is>
          <t>EI</t>
        </is>
      </c>
      <c r="F83" s="104" t="inlineStr"/>
      <c r="G83" s="104" t="inlineStr">
        <is>
          <t>【地市后台】垂直行业营销-签到管理-签到奖品配置-导出奖品数据-界面开发，具体如下
： 1、</t>
        </is>
      </c>
      <c r="H83" s="103" t="inlineStr">
        <is>
          <t>新增</t>
        </is>
      </c>
      <c r="I83" s="105">
        <f>IF(E83="EI",4,IF(E83="EO",5,IF(E83="EQ",4,IF(E83="ILF",10,IF(E83="EIF",7,0)))))*IF(H83="修改",0.6,1)</f>
        <v/>
      </c>
      <c r="J83" s="106" t="n">
        <v>2</v>
      </c>
      <c r="K83" s="106" t="n">
        <v>1</v>
      </c>
      <c r="L83" s="105">
        <f>J83*K83</f>
        <v/>
      </c>
      <c r="M83" s="107" t="inlineStr"/>
      <c r="N83" t="inlineStr"/>
    </row>
    <row r="84" ht="62.15" customHeight="1" s="52">
      <c r="A84" s="103" t="n">
        <v>82</v>
      </c>
      <c r="B84" s="103" t="inlineStr">
        <is>
          <t>和乐业</t>
        </is>
      </c>
      <c r="C84" s="103" t="inlineStr">
        <is>
          <t>YXGJ-CZHY-01</t>
        </is>
      </c>
      <c r="D84" s="103" t="inlineStr">
        <is>
          <t>【地市后台】垂直行业营销-签到管理-签到奖品配置-导出奖品数据-接口开发</t>
        </is>
      </c>
      <c r="E84" s="103" t="inlineStr">
        <is>
          <t>ILF</t>
        </is>
      </c>
      <c r="F84" s="104" t="inlineStr"/>
      <c r="G84" s="104" t="inlineStr">
        <is>
          <t>【地市后台】垂直行业营销-签到管理-签到奖品配置-导出奖品数据-接口开发，具体如下
： 1、</t>
        </is>
      </c>
      <c r="H84" s="103" t="inlineStr">
        <is>
          <t>新增</t>
        </is>
      </c>
      <c r="I84" s="105">
        <f>IF(E84="EI",4,IF(E84="EO",5,IF(E84="EQ",4,IF(E84="ILF",10,IF(E84="EIF",7,0)))))*IF(H84="修改",0.6,1)</f>
        <v/>
      </c>
      <c r="J84" s="106" t="n">
        <v>1</v>
      </c>
      <c r="K84" s="106" t="n">
        <v>1</v>
      </c>
      <c r="L84" s="105">
        <f>J84*K84</f>
        <v/>
      </c>
      <c r="M84" s="107" t="inlineStr"/>
      <c r="N84" t="inlineStr"/>
    </row>
    <row r="85" ht="62.15" customHeight="1" s="52">
      <c r="A85" s="103" t="n">
        <v>83</v>
      </c>
      <c r="B85" s="103" t="inlineStr">
        <is>
          <t>和乐业</t>
        </is>
      </c>
      <c r="C85" s="103" t="inlineStr">
        <is>
          <t>YXGJ-CZHY-01</t>
        </is>
      </c>
      <c r="D85" s="103" t="inlineStr">
        <is>
          <t>【地市后台】垂直行业营销-签到管理-签到记录-查询签到记录-界面开发</t>
        </is>
      </c>
      <c r="E85" s="103" t="inlineStr">
        <is>
          <t>EI</t>
        </is>
      </c>
      <c r="F85" s="104" t="inlineStr"/>
      <c r="G85" s="104" t="inlineStr">
        <is>
          <t>【地市后台】垂直行业营销-签到管理-签到记录-查询签到记录-界面开发，具体如下
： 1、</t>
        </is>
      </c>
      <c r="H85" s="103" t="inlineStr">
        <is>
          <t>新增</t>
        </is>
      </c>
      <c r="I85" s="105">
        <f>IF(E85="EI",4,IF(E85="EO",5,IF(E85="EQ",4,IF(E85="ILF",10,IF(E85="EIF",7,0)))))*IF(H85="修改",0.6,1)</f>
        <v/>
      </c>
      <c r="J85" s="106" t="n">
        <v>2</v>
      </c>
      <c r="K85" s="106" t="n">
        <v>1</v>
      </c>
      <c r="L85" s="105">
        <f>J85*K85</f>
        <v/>
      </c>
      <c r="M85" s="107" t="inlineStr"/>
      <c r="N85" t="inlineStr"/>
    </row>
    <row r="86" ht="74.55" customHeight="1" s="52">
      <c r="A86" s="103" t="n">
        <v>84</v>
      </c>
      <c r="B86" s="103" t="inlineStr">
        <is>
          <t>和乐业</t>
        </is>
      </c>
      <c r="C86" s="103" t="inlineStr">
        <is>
          <t>YXGJ-CZHY-01</t>
        </is>
      </c>
      <c r="D86" s="103" t="inlineStr">
        <is>
          <t>【地市后台】垂直行业营销-签到管理-签到记录-查询签到记录-接口开发</t>
        </is>
      </c>
      <c r="E86" s="103" t="inlineStr">
        <is>
          <t>ILF</t>
        </is>
      </c>
      <c r="F86" s="104" t="inlineStr"/>
      <c r="G86" s="104" t="inlineStr">
        <is>
          <t>【地市后台】垂直行业营销-签到管理-签到记录-查询签到记录-接口开发，具体如下
： 1、</t>
        </is>
      </c>
      <c r="H86" s="103" t="inlineStr">
        <is>
          <t>新增</t>
        </is>
      </c>
      <c r="I86" s="105">
        <f>IF(E86="EI",4,IF(E86="EO",5,IF(E86="EQ",4,IF(E86="ILF",10,IF(E86="EIF",7,0)))))*IF(H86="修改",0.6,1)</f>
        <v/>
      </c>
      <c r="J86" s="106" t="n">
        <v>1</v>
      </c>
      <c r="K86" s="106" t="n">
        <v>1</v>
      </c>
      <c r="L86" s="105">
        <f>J86*K86</f>
        <v/>
      </c>
      <c r="M86" s="107" t="inlineStr"/>
      <c r="N86" t="inlineStr"/>
    </row>
    <row r="87" ht="62.15" customHeight="1" s="52">
      <c r="A87" s="103" t="n">
        <v>85</v>
      </c>
      <c r="B87" s="103" t="inlineStr">
        <is>
          <t>和乐业</t>
        </is>
      </c>
      <c r="C87" s="103" t="inlineStr">
        <is>
          <t>YXGJ-CZHY-01</t>
        </is>
      </c>
      <c r="D87" s="103" t="inlineStr">
        <is>
          <t>【地市后台】垂直行业营销-签到管理-签到记录-导出签到记录-界面开发</t>
        </is>
      </c>
      <c r="E87" s="103" t="inlineStr">
        <is>
          <t>EI</t>
        </is>
      </c>
      <c r="F87" s="104" t="inlineStr"/>
      <c r="G87" s="104" t="inlineStr">
        <is>
          <t>【地市后台】垂直行业营销-签到管理-签到记录-导出签到记录-界面开发，具体如下
： 1、</t>
        </is>
      </c>
      <c r="H87" s="103" t="inlineStr">
        <is>
          <t>新增</t>
        </is>
      </c>
      <c r="I87" s="105">
        <f>IF(E87="EI",4,IF(E87="EO",5,IF(E87="EQ",4,IF(E87="ILF",10,IF(E87="EIF",7,0)))))*IF(H87="修改",0.6,1)</f>
        <v/>
      </c>
      <c r="J87" s="106" t="n">
        <v>2</v>
      </c>
      <c r="K87" s="106" t="n">
        <v>1</v>
      </c>
      <c r="L87" s="105">
        <f>J87*K87</f>
        <v/>
      </c>
      <c r="M87" s="107" t="inlineStr"/>
      <c r="N87" t="inlineStr"/>
    </row>
    <row r="88">
      <c r="A88" s="103" t="n">
        <v>86</v>
      </c>
      <c r="B88" s="103" t="inlineStr">
        <is>
          <t>和乐业</t>
        </is>
      </c>
      <c r="C88" s="103" t="inlineStr">
        <is>
          <t>YXGJ-CZHY-01</t>
        </is>
      </c>
      <c r="D88" s="103" t="inlineStr">
        <is>
          <t>【地市后台】垂直行业营销-签到管理-签到记录-导出签到记录-接口开发</t>
        </is>
      </c>
      <c r="E88" s="103" t="inlineStr">
        <is>
          <t>ILF</t>
        </is>
      </c>
      <c r="F88" s="104" t="inlineStr"/>
      <c r="G88" s="104" t="inlineStr">
        <is>
          <t>【地市后台】垂直行业营销-签到管理-签到记录-导出签到记录-接口开发，具体如下
： 1、</t>
        </is>
      </c>
      <c r="H88" s="103" t="inlineStr">
        <is>
          <t>新增</t>
        </is>
      </c>
      <c r="I88" s="105">
        <f>IF(E88="EI",4,IF(E88="EO",5,IF(E88="EQ",4,IF(E88="ILF",10,IF(E88="EIF",7,0)))))*IF(H88="修改",0.6,1)</f>
        <v/>
      </c>
      <c r="J88" s="106" t="n">
        <v>1</v>
      </c>
      <c r="K88" s="106" t="n">
        <v>1</v>
      </c>
      <c r="L88" s="105">
        <f>J88*K88</f>
        <v/>
      </c>
      <c r="M88" s="107" t="inlineStr"/>
      <c r="N88" t="inlineStr"/>
    </row>
    <row r="89">
      <c r="A89" s="103" t="n">
        <v>87</v>
      </c>
      <c r="B89" s="103" t="inlineStr">
        <is>
          <t>和乐业</t>
        </is>
      </c>
      <c r="C89" s="103" t="inlineStr">
        <is>
          <t>YXGJ-CZHY-01</t>
        </is>
      </c>
      <c r="D89" s="103" t="inlineStr">
        <is>
          <t>【地市后台】垂直行业营销-订单管理-卡券订单-搜索卡劵订单-界面开发</t>
        </is>
      </c>
      <c r="E89" s="103" t="inlineStr">
        <is>
          <t>EI</t>
        </is>
      </c>
      <c r="F89" s="104" t="inlineStr"/>
      <c r="G89" s="104" t="inlineStr">
        <is>
          <t>【地市后台】垂直行业营销-订单管理-卡券订单-搜索卡劵订单-界面开发，具体如下
： 1、</t>
        </is>
      </c>
      <c r="H89" s="103" t="inlineStr">
        <is>
          <t>新增</t>
        </is>
      </c>
      <c r="I89" s="105">
        <f>IF(E89="EI",4,IF(E89="EO",5,IF(E89="EQ",4,IF(E89="ILF",10,IF(E89="EIF",7,0)))))*IF(H89="修改",0.6,1)</f>
        <v/>
      </c>
      <c r="J89" s="106" t="n">
        <v>2</v>
      </c>
      <c r="K89" s="106" t="n">
        <v>1</v>
      </c>
      <c r="L89" s="105">
        <f>J89*K89</f>
        <v/>
      </c>
      <c r="M89" s="107" t="inlineStr"/>
      <c r="N89" t="inlineStr"/>
    </row>
    <row r="90">
      <c r="A90" s="103" t="n">
        <v>88</v>
      </c>
      <c r="B90" s="103" t="inlineStr">
        <is>
          <t>和乐业</t>
        </is>
      </c>
      <c r="C90" s="103" t="inlineStr">
        <is>
          <t>YXGJ-CZHY-01</t>
        </is>
      </c>
      <c r="D90" s="103" t="inlineStr">
        <is>
          <t>【地市后台】垂直行业营销-订单管理-卡券订单-搜索卡劵订单-接口开发</t>
        </is>
      </c>
      <c r="E90" s="103" t="inlineStr">
        <is>
          <t>ILF</t>
        </is>
      </c>
      <c r="F90" s="104" t="inlineStr"/>
      <c r="G90" s="104" t="inlineStr">
        <is>
          <t>【地市后台】垂直行业营销-订单管理-卡券订单-搜索卡劵订单-接口开发，具体如下
： 1、</t>
        </is>
      </c>
      <c r="H90" s="103" t="inlineStr">
        <is>
          <t>新增</t>
        </is>
      </c>
      <c r="I90" s="105">
        <f>IF(E90="EI",4,IF(E90="EO",5,IF(E90="EQ",4,IF(E90="ILF",10,IF(E90="EIF",7,0)))))*IF(H90="修改",0.6,1)</f>
        <v/>
      </c>
      <c r="J90" s="106" t="n">
        <v>1</v>
      </c>
      <c r="K90" s="106" t="n">
        <v>1</v>
      </c>
      <c r="L90" s="105">
        <f>J90*K90</f>
        <v/>
      </c>
      <c r="M90" s="107" t="inlineStr"/>
      <c r="N90" t="inlineStr"/>
    </row>
    <row r="91">
      <c r="A91" s="103" t="n">
        <v>89</v>
      </c>
      <c r="B91" s="103" t="inlineStr">
        <is>
          <t>和乐业</t>
        </is>
      </c>
      <c r="C91" s="103" t="inlineStr">
        <is>
          <t>YXGJ-CZHY-01</t>
        </is>
      </c>
      <c r="D91" s="103" t="inlineStr">
        <is>
          <t>【地市后台】垂直行业营销-订单管理-卡券订单-导出卡劵订单-界面开发</t>
        </is>
      </c>
      <c r="E91" s="103" t="inlineStr">
        <is>
          <t>EI</t>
        </is>
      </c>
      <c r="F91" s="104" t="inlineStr"/>
      <c r="G91" s="104" t="inlineStr">
        <is>
          <t>【地市后台】垂直行业营销-订单管理-卡券订单-导出卡劵订单-界面开发，具体如下
： 1、</t>
        </is>
      </c>
      <c r="H91" s="103" t="inlineStr">
        <is>
          <t>新增</t>
        </is>
      </c>
      <c r="I91" s="105">
        <f>IF(E91="EI",4,IF(E91="EO",5,IF(E91="EQ",4,IF(E91="ILF",10,IF(E91="EIF",7,0)))))*IF(H91="修改",0.6,1)</f>
        <v/>
      </c>
      <c r="J91" s="106" t="n">
        <v>2</v>
      </c>
      <c r="K91" s="106" t="n">
        <v>1</v>
      </c>
      <c r="L91" s="105">
        <f>J91*K91</f>
        <v/>
      </c>
      <c r="M91" s="107" t="inlineStr"/>
      <c r="N91" t="inlineStr"/>
    </row>
    <row r="92">
      <c r="A92" s="103" t="n">
        <v>90</v>
      </c>
      <c r="B92" s="103" t="inlineStr">
        <is>
          <t>和乐业</t>
        </is>
      </c>
      <c r="C92" s="103" t="inlineStr">
        <is>
          <t>YXGJ-CZHY-01</t>
        </is>
      </c>
      <c r="D92" s="103" t="inlineStr">
        <is>
          <t>【地市后台】垂直行业营销-订单管理-卡券订单-导出卡劵订单-接口开发</t>
        </is>
      </c>
      <c r="E92" s="103" t="inlineStr">
        <is>
          <t>ILF</t>
        </is>
      </c>
      <c r="F92" s="104" t="inlineStr"/>
      <c r="G92" s="104" t="inlineStr">
        <is>
          <t>【地市后台】垂直行业营销-订单管理-卡券订单-导出卡劵订单-接口开发，具体如下
： 1、</t>
        </is>
      </c>
      <c r="H92" s="103" t="inlineStr">
        <is>
          <t>新增</t>
        </is>
      </c>
      <c r="I92" s="105">
        <f>IF(E92="EI",4,IF(E92="EO",5,IF(E92="EQ",4,IF(E92="ILF",10,IF(E92="EIF",7,0)))))*IF(H92="修改",0.6,1)</f>
        <v/>
      </c>
      <c r="J92" s="106" t="n">
        <v>1</v>
      </c>
      <c r="K92" s="106" t="n">
        <v>1</v>
      </c>
      <c r="L92" s="105">
        <f>J92*K92</f>
        <v/>
      </c>
      <c r="M92" s="107" t="inlineStr"/>
      <c r="N92" t="inlineStr"/>
    </row>
    <row r="93">
      <c r="A93" s="103" t="n">
        <v>91</v>
      </c>
      <c r="B93" s="103" t="inlineStr">
        <is>
          <t>和乐业</t>
        </is>
      </c>
      <c r="C93" s="103" t="inlineStr">
        <is>
          <t>YXGJ-CZHY-01</t>
        </is>
      </c>
      <c r="D93" s="103" t="inlineStr">
        <is>
          <t>【地市后台】垂直行业营销-订单管理-业务订单-搜索业务订单-界面开发</t>
        </is>
      </c>
      <c r="E93" s="103" t="inlineStr">
        <is>
          <t>EI</t>
        </is>
      </c>
      <c r="F93" s="104" t="inlineStr"/>
      <c r="G93" s="104" t="inlineStr">
        <is>
          <t>【地市后台】垂直行业营销-订单管理-业务订单-搜索业务订单-界面开发，具体如下
： 1、</t>
        </is>
      </c>
      <c r="H93" s="103" t="inlineStr">
        <is>
          <t>新增</t>
        </is>
      </c>
      <c r="I93" s="105">
        <f>IF(E93="EI",4,IF(E93="EO",5,IF(E93="EQ",4,IF(E93="ILF",10,IF(E93="EIF",7,0)))))*IF(H93="修改",0.6,1)</f>
        <v/>
      </c>
      <c r="J93" s="106" t="n">
        <v>2</v>
      </c>
      <c r="K93" s="106" t="n">
        <v>1</v>
      </c>
      <c r="L93" s="105">
        <f>J93*K93</f>
        <v/>
      </c>
      <c r="M93" s="107" t="inlineStr"/>
      <c r="N93" t="inlineStr"/>
    </row>
    <row r="94">
      <c r="A94" s="103" t="n">
        <v>92</v>
      </c>
      <c r="B94" s="103" t="inlineStr">
        <is>
          <t>和乐业</t>
        </is>
      </c>
      <c r="C94" s="103" t="inlineStr">
        <is>
          <t>YXGJ-CZHY-01</t>
        </is>
      </c>
      <c r="D94" s="103" t="inlineStr">
        <is>
          <t>【地市后台】垂直行业营销-订单管理-业务订单-搜索业务订单-接口开发</t>
        </is>
      </c>
      <c r="E94" s="103" t="inlineStr">
        <is>
          <t>ILF</t>
        </is>
      </c>
      <c r="F94" s="104" t="inlineStr"/>
      <c r="G94" s="104" t="inlineStr">
        <is>
          <t>【地市后台】垂直行业营销-订单管理-业务订单-搜索业务订单-接口开发，具体如下
： 1、</t>
        </is>
      </c>
      <c r="H94" s="103" t="inlineStr">
        <is>
          <t>新增</t>
        </is>
      </c>
      <c r="I94" s="105">
        <f>IF(E94="EI",4,IF(E94="EO",5,IF(E94="EQ",4,IF(E94="ILF",10,IF(E94="EIF",7,0)))))*IF(H94="修改",0.6,1)</f>
        <v/>
      </c>
      <c r="J94" s="106" t="n">
        <v>1</v>
      </c>
      <c r="K94" s="106" t="n">
        <v>1</v>
      </c>
      <c r="L94" s="105">
        <f>J94*K94</f>
        <v/>
      </c>
      <c r="M94" s="107" t="inlineStr"/>
      <c r="N94" t="inlineStr"/>
    </row>
    <row r="95">
      <c r="A95" s="103" t="n">
        <v>93</v>
      </c>
      <c r="B95" s="103" t="inlineStr">
        <is>
          <t>和乐业</t>
        </is>
      </c>
      <c r="C95" s="103" t="inlineStr">
        <is>
          <t>YXGJ-CZHY-01</t>
        </is>
      </c>
      <c r="D95" s="103" t="inlineStr">
        <is>
          <t>【地市后台】垂直行业营销-订单管理-业务订单-导出业务订单-界面开发</t>
        </is>
      </c>
      <c r="E95" s="103" t="inlineStr">
        <is>
          <t>EI</t>
        </is>
      </c>
      <c r="F95" s="104" t="inlineStr"/>
      <c r="G95" s="104" t="inlineStr">
        <is>
          <t>【地市后台】垂直行业营销-订单管理-业务订单-导出业务订单-界面开发，具体如下
： 1、</t>
        </is>
      </c>
      <c r="H95" s="103" t="inlineStr">
        <is>
          <t>新增</t>
        </is>
      </c>
      <c r="I95" s="105">
        <f>IF(E95="EI",4,IF(E95="EO",5,IF(E95="EQ",4,IF(E95="ILF",10,IF(E95="EIF",7,0)))))*IF(H95="修改",0.6,1)</f>
        <v/>
      </c>
      <c r="J95" s="106" t="n">
        <v>2</v>
      </c>
      <c r="K95" s="106" t="n">
        <v>1</v>
      </c>
      <c r="L95" s="105">
        <f>J95*K95</f>
        <v/>
      </c>
      <c r="M95" s="107" t="inlineStr"/>
      <c r="N95" t="inlineStr"/>
    </row>
    <row r="96">
      <c r="A96" s="103" t="n">
        <v>94</v>
      </c>
      <c r="B96" s="103" t="inlineStr">
        <is>
          <t>和乐业</t>
        </is>
      </c>
      <c r="C96" s="103" t="inlineStr">
        <is>
          <t>YXGJ-CZHY-01</t>
        </is>
      </c>
      <c r="D96" s="103" t="inlineStr">
        <is>
          <t>【地市后台】垂直行业营销-订单管理-业务订单-导出业务订单-接口开发</t>
        </is>
      </c>
      <c r="E96" s="103" t="inlineStr">
        <is>
          <t>ILF</t>
        </is>
      </c>
      <c r="F96" s="104" t="inlineStr"/>
      <c r="G96" s="104" t="inlineStr">
        <is>
          <t>【地市后台】垂直行业营销-订单管理-业务订单-导出业务订单-接口开发，具体如下
： 1、</t>
        </is>
      </c>
      <c r="H96" s="103" t="inlineStr">
        <is>
          <t>新增</t>
        </is>
      </c>
      <c r="I96" s="105">
        <f>IF(E96="EI",4,IF(E96="EO",5,IF(E96="EQ",4,IF(E96="ILF",10,IF(E96="EIF",7,0)))))*IF(H96="修改",0.6,1)</f>
        <v/>
      </c>
      <c r="J96" s="106" t="n">
        <v>1</v>
      </c>
      <c r="K96" s="106" t="n">
        <v>1</v>
      </c>
      <c r="L96" s="105">
        <f>J96*K96</f>
        <v/>
      </c>
      <c r="M96" s="107" t="inlineStr"/>
      <c r="N96" t="inlineStr"/>
    </row>
    <row r="97">
      <c r="A97" s="103" t="n">
        <v>95</v>
      </c>
      <c r="B97" s="103" t="inlineStr">
        <is>
          <t>和乐业</t>
        </is>
      </c>
      <c r="C97" s="103" t="inlineStr">
        <is>
          <t>YXGJ-CZHY-01</t>
        </is>
      </c>
      <c r="D97" s="103" t="inlineStr">
        <is>
          <t>【用户前台】用户前台-活动前台-垂直行业登录页-登录页面-界面开发</t>
        </is>
      </c>
      <c r="E97" s="103" t="inlineStr">
        <is>
          <t>EI</t>
        </is>
      </c>
      <c r="F97" s="104" t="inlineStr"/>
      <c r="G97" s="104" t="inlineStr">
        <is>
          <t>【用户前台】用户前台-活动前台-垂直行业登录页-登录页面-界面开发，具体如下
： 1、</t>
        </is>
      </c>
      <c r="H97" s="103" t="inlineStr">
        <is>
          <t>新增</t>
        </is>
      </c>
      <c r="I97" s="105">
        <f>IF(E97="EI",4,IF(E97="EO",5,IF(E97="EQ",4,IF(E97="ILF",10,IF(E97="EIF",7,0)))))*IF(H97="修改",0.6,1)</f>
        <v/>
      </c>
      <c r="J97" s="106" t="n">
        <v>2</v>
      </c>
      <c r="K97" s="106" t="n">
        <v>1</v>
      </c>
      <c r="L97" s="105">
        <f>J97*K97</f>
        <v/>
      </c>
      <c r="M97" s="107" t="inlineStr"/>
      <c r="N97" t="inlineStr"/>
    </row>
    <row r="98">
      <c r="A98" s="103" t="n">
        <v>96</v>
      </c>
      <c r="B98" s="103" t="inlineStr">
        <is>
          <t>和乐业</t>
        </is>
      </c>
      <c r="C98" s="103" t="inlineStr">
        <is>
          <t>YXGJ-CZHY-01</t>
        </is>
      </c>
      <c r="D98" s="103" t="inlineStr">
        <is>
          <t>【用户前台】用户前台-活动前台-垂直行业登录页-登录页面-接口开发</t>
        </is>
      </c>
      <c r="E98" s="103" t="inlineStr">
        <is>
          <t>ILF</t>
        </is>
      </c>
      <c r="F98" s="104" t="inlineStr"/>
      <c r="G98" s="104" t="inlineStr">
        <is>
          <t>【用户前台】用户前台-活动前台-垂直行业登录页-登录页面-接口开发，具体如下
： 1、</t>
        </is>
      </c>
      <c r="H98" s="103" t="inlineStr">
        <is>
          <t>新增</t>
        </is>
      </c>
      <c r="I98" s="105">
        <f>IF(E98="EI",4,IF(E98="EO",5,IF(E98="EQ",4,IF(E98="ILF",10,IF(E98="EIF",7,0)))))*IF(H98="修改",0.6,1)</f>
        <v/>
      </c>
      <c r="J98" s="106" t="n">
        <v>1</v>
      </c>
      <c r="K98" s="106" t="n">
        <v>1</v>
      </c>
      <c r="L98" s="105">
        <f>J98*K98</f>
        <v/>
      </c>
      <c r="M98" s="107" t="inlineStr"/>
      <c r="N98" t="inlineStr"/>
    </row>
    <row r="99">
      <c r="A99" s="103" t="n">
        <v>97</v>
      </c>
      <c r="B99" s="103" t="inlineStr">
        <is>
          <t>和乐业</t>
        </is>
      </c>
      <c r="C99" s="103" t="inlineStr">
        <is>
          <t>YXGJ-CZHY-01</t>
        </is>
      </c>
      <c r="D99" s="103" t="inlineStr">
        <is>
          <t>【用户前台】用户前台-活动前台-首页-首页装修页面渲染展示-界面开发</t>
        </is>
      </c>
      <c r="E99" s="103" t="inlineStr">
        <is>
          <t>EI</t>
        </is>
      </c>
      <c r="F99" s="104" t="inlineStr"/>
      <c r="G99" s="104" t="inlineStr">
        <is>
          <t>【用户前台】用户前台-活动前台-首页-首页装修页面渲染展示-界面开发，具体如下
： 1、</t>
        </is>
      </c>
      <c r="H99" s="103" t="inlineStr">
        <is>
          <t>新增</t>
        </is>
      </c>
      <c r="I99" s="105">
        <f>IF(E99="EI",4,IF(E99="EO",5,IF(E99="EQ",4,IF(E99="ILF",10,IF(E99="EIF",7,0)))))*IF(H99="修改",0.6,1)</f>
        <v/>
      </c>
      <c r="J99" s="106" t="n">
        <v>2</v>
      </c>
      <c r="K99" s="106" t="n">
        <v>1</v>
      </c>
      <c r="L99" s="105">
        <f>J99*K99</f>
        <v/>
      </c>
      <c r="M99" s="107" t="inlineStr"/>
      <c r="N99" t="inlineStr"/>
    </row>
    <row r="100">
      <c r="A100" s="103" t="n">
        <v>98</v>
      </c>
      <c r="B100" s="103" t="inlineStr">
        <is>
          <t>和乐业</t>
        </is>
      </c>
      <c r="C100" s="103" t="inlineStr">
        <is>
          <t>YXGJ-CZHY-01</t>
        </is>
      </c>
      <c r="D100" s="103" t="inlineStr">
        <is>
          <t>【用户前台】用户前台-活动前台-首页-首页装修页面渲染展示-接口开发</t>
        </is>
      </c>
      <c r="E100" s="103" t="inlineStr">
        <is>
          <t>ILF</t>
        </is>
      </c>
      <c r="F100" s="104" t="inlineStr"/>
      <c r="G100" s="104" t="inlineStr">
        <is>
          <t>【用户前台】用户前台-活动前台-首页-首页装修页面渲染展示-接口开发，具体如下
： 1、</t>
        </is>
      </c>
      <c r="H100" s="103" t="inlineStr">
        <is>
          <t>新增</t>
        </is>
      </c>
      <c r="I100" s="105">
        <f>IF(E100="EI",4,IF(E100="EO",5,IF(E100="EQ",4,IF(E100="ILF",10,IF(E100="EIF",7,0)))))*IF(H100="修改",0.6,1)</f>
        <v/>
      </c>
      <c r="J100" s="106" t="n">
        <v>1</v>
      </c>
      <c r="K100" s="106" t="n">
        <v>1</v>
      </c>
      <c r="L100" s="105">
        <f>J100*K100</f>
        <v/>
      </c>
      <c r="M100" s="107" t="inlineStr"/>
      <c r="N100" t="inlineStr"/>
    </row>
    <row r="101">
      <c r="A101" s="103" t="n">
        <v>99</v>
      </c>
      <c r="B101" s="103" t="inlineStr">
        <is>
          <t>和乐业</t>
        </is>
      </c>
      <c r="C101" s="103" t="inlineStr">
        <is>
          <t>YXGJ-CZHY-01</t>
        </is>
      </c>
      <c r="D101" s="103" t="inlineStr">
        <is>
          <t>【渠道工作台】渠道工作台-垂直行业管理-用户信息-获取分销员的基础信息-界面开发</t>
        </is>
      </c>
      <c r="E101" s="103" t="inlineStr">
        <is>
          <t>EI</t>
        </is>
      </c>
      <c r="F101" s="104" t="inlineStr"/>
      <c r="G101" s="104" t="inlineStr">
        <is>
          <t>【渠道工作台】渠道工作台-垂直行业管理-用户信息-获取分销员的基础信息-界面开发，具体如下
： 1、</t>
        </is>
      </c>
      <c r="H101" s="103" t="inlineStr">
        <is>
          <t>修改</t>
        </is>
      </c>
      <c r="I101" s="105">
        <f>IF(E101="EI",4,IF(E101="EO",5,IF(E101="EQ",4,IF(E101="ILF",10,IF(E101="EIF",7,0)))))*IF(H101="修改",0.6,1)</f>
        <v/>
      </c>
      <c r="J101" s="106" t="n">
        <v>2</v>
      </c>
      <c r="K101" s="106" t="n">
        <v>1</v>
      </c>
      <c r="L101" s="105">
        <f>J101*K101</f>
        <v/>
      </c>
      <c r="M101" s="107" t="inlineStr"/>
      <c r="N101" t="inlineStr"/>
    </row>
    <row r="102">
      <c r="A102" s="103" t="n">
        <v>100</v>
      </c>
      <c r="B102" s="103" t="inlineStr">
        <is>
          <t>和乐业</t>
        </is>
      </c>
      <c r="C102" s="103" t="inlineStr">
        <is>
          <t>YXGJ-CZHY-01</t>
        </is>
      </c>
      <c r="D102" s="103" t="inlineStr">
        <is>
          <t>【渠道工作台】渠道工作台-垂直行业管理-用户信息-获取分销员的基础信息-接口开发</t>
        </is>
      </c>
      <c r="E102" s="103" t="inlineStr">
        <is>
          <t>ILF</t>
        </is>
      </c>
      <c r="F102" s="104" t="inlineStr"/>
      <c r="G102" s="104" t="inlineStr">
        <is>
          <t>【渠道工作台】渠道工作台-垂直行业管理-用户信息-获取分销员的基础信息-接口开发，具体如下
： 1、</t>
        </is>
      </c>
      <c r="H102" s="103" t="inlineStr">
        <is>
          <t>修改</t>
        </is>
      </c>
      <c r="I102" s="105">
        <f>IF(E102="EI",4,IF(E102="EO",5,IF(E102="EQ",4,IF(E102="ILF",10,IF(E102="EIF",7,0)))))*IF(H102="修改",0.6,1)</f>
        <v/>
      </c>
      <c r="J102" s="106" t="n">
        <v>1</v>
      </c>
      <c r="K102" s="106" t="n">
        <v>1</v>
      </c>
      <c r="L102" s="105">
        <f>J102*K102</f>
        <v/>
      </c>
      <c r="M102" s="107" t="inlineStr"/>
      <c r="N102" t="inlineStr"/>
    </row>
    <row r="103">
      <c r="A103" s="103" t="n">
        <v>101</v>
      </c>
      <c r="B103" s="103" t="inlineStr">
        <is>
          <t>和乐业</t>
        </is>
      </c>
      <c r="C103" s="103" t="inlineStr">
        <is>
          <t>YXGJ-CZHY-01</t>
        </is>
      </c>
      <c r="D103" s="103" t="inlineStr">
        <is>
          <t>【渠道工作台】渠道工作台-垂直行业管理-分销码-获取垂直行业分销码-界面开发</t>
        </is>
      </c>
      <c r="E103" s="103" t="inlineStr">
        <is>
          <t>EI</t>
        </is>
      </c>
      <c r="F103" s="104" t="inlineStr"/>
      <c r="G103" s="104" t="inlineStr">
        <is>
          <t>【渠道工作台】渠道工作台-垂直行业管理-分销码-获取垂直行业分销码-界面开发，具体如下
： 1、</t>
        </is>
      </c>
      <c r="H103" s="103" t="inlineStr">
        <is>
          <t>新增</t>
        </is>
      </c>
      <c r="I103" s="105">
        <f>IF(E103="EI",4,IF(E103="EO",5,IF(E103="EQ",4,IF(E103="ILF",10,IF(E103="EIF",7,0)))))*IF(H103="修改",0.6,1)</f>
        <v/>
      </c>
      <c r="J103" s="106" t="n">
        <v>2</v>
      </c>
      <c r="K103" s="106" t="n">
        <v>1</v>
      </c>
      <c r="L103" s="105">
        <f>J103*K103</f>
        <v/>
      </c>
      <c r="M103" s="107" t="inlineStr"/>
      <c r="N103" t="inlineStr"/>
    </row>
    <row r="104">
      <c r="A104" s="103" t="n">
        <v>102</v>
      </c>
      <c r="B104" s="103" t="inlineStr">
        <is>
          <t>和乐业</t>
        </is>
      </c>
      <c r="C104" s="103" t="inlineStr">
        <is>
          <t>YXGJ-CZHY-01</t>
        </is>
      </c>
      <c r="D104" s="103" t="inlineStr">
        <is>
          <t>【渠道工作台】渠道工作台-垂直行业管理-分销码-获取垂直行业分销码-接口开发</t>
        </is>
      </c>
      <c r="E104" s="103" t="inlineStr">
        <is>
          <t>ILF</t>
        </is>
      </c>
      <c r="F104" s="104" t="inlineStr"/>
      <c r="G104" s="104" t="inlineStr">
        <is>
          <t>【渠道工作台】渠道工作台-垂直行业管理-分销码-获取垂直行业分销码-接口开发，具体如下
： 1、</t>
        </is>
      </c>
      <c r="H104" s="103" t="inlineStr">
        <is>
          <t>新增</t>
        </is>
      </c>
      <c r="I104" s="105">
        <f>IF(E104="EI",4,IF(E104="EO",5,IF(E104="EQ",4,IF(E104="ILF",10,IF(E104="EIF",7,0)))))*IF(H104="修改",0.6,1)</f>
        <v/>
      </c>
      <c r="J104" s="106" t="n">
        <v>1</v>
      </c>
      <c r="K104" s="106" t="n">
        <v>1</v>
      </c>
      <c r="L104" s="105">
        <f>J104*K104</f>
        <v/>
      </c>
      <c r="M104" s="107" t="inlineStr"/>
      <c r="N104" t="inlineStr"/>
    </row>
    <row r="105">
      <c r="A105" s="103" t="n">
        <v>103</v>
      </c>
      <c r="B105" s="103" t="inlineStr">
        <is>
          <t>和乐业</t>
        </is>
      </c>
      <c r="C105" s="103" t="inlineStr">
        <is>
          <t>YXGJ-CZHY-01</t>
        </is>
      </c>
      <c r="D105" s="103" t="inlineStr">
        <is>
          <t>【渠道工作台】渠道工作台-垂直行业管理-稽核管理-稽核列表数据查询-界面开发</t>
        </is>
      </c>
      <c r="E105" s="103" t="inlineStr">
        <is>
          <t>EI</t>
        </is>
      </c>
      <c r="F105" s="104" t="inlineStr"/>
      <c r="G105" s="104" t="inlineStr">
        <is>
          <t>【渠道工作台】渠道工作台-垂直行业管理-稽核管理-稽核列表数据查询-界面开发，具体如下
： 1、</t>
        </is>
      </c>
      <c r="H105" s="103" t="inlineStr">
        <is>
          <t>新增</t>
        </is>
      </c>
      <c r="I105" s="105">
        <f>IF(E105="EI",4,IF(E105="EO",5,IF(E105="EQ",4,IF(E105="ILF",10,IF(E105="EIF",7,0)))))*IF(H105="修改",0.6,1)</f>
        <v/>
      </c>
      <c r="J105" s="106" t="n">
        <v>2</v>
      </c>
      <c r="K105" s="106" t="n">
        <v>1</v>
      </c>
      <c r="L105" s="105">
        <f>J105*K105</f>
        <v/>
      </c>
      <c r="M105" s="107" t="inlineStr"/>
      <c r="N105" t="inlineStr"/>
    </row>
    <row r="106">
      <c r="A106" s="103" t="n">
        <v>104</v>
      </c>
      <c r="B106" s="103" t="inlineStr">
        <is>
          <t>和乐业</t>
        </is>
      </c>
      <c r="C106" s="103" t="inlineStr">
        <is>
          <t>YXGJ-CZHY-01</t>
        </is>
      </c>
      <c r="D106" s="103" t="inlineStr">
        <is>
          <t>【渠道工作台】渠道工作台-垂直行业管理-稽核管理-稽核列表数据查询-接口开发</t>
        </is>
      </c>
      <c r="E106" s="103" t="inlineStr">
        <is>
          <t>ILF</t>
        </is>
      </c>
      <c r="F106" s="104" t="inlineStr"/>
      <c r="G106" s="104" t="inlineStr">
        <is>
          <t>【渠道工作台】渠道工作台-垂直行业管理-稽核管理-稽核列表数据查询-接口开发，具体如下
： 1、</t>
        </is>
      </c>
      <c r="H106" s="103" t="inlineStr">
        <is>
          <t>新增</t>
        </is>
      </c>
      <c r="I106" s="105">
        <f>IF(E106="EI",4,IF(E106="EO",5,IF(E106="EQ",4,IF(E106="ILF",10,IF(E106="EIF",7,0)))))*IF(H106="修改",0.6,1)</f>
        <v/>
      </c>
      <c r="J106" s="106" t="n">
        <v>1</v>
      </c>
      <c r="K106" s="106" t="n">
        <v>1</v>
      </c>
      <c r="L106" s="105">
        <f>J106*K106</f>
        <v/>
      </c>
      <c r="M106" s="107" t="inlineStr"/>
      <c r="N106" t="inlineStr"/>
    </row>
    <row r="107">
      <c r="A107" s="103" t="n">
        <v>105</v>
      </c>
      <c r="B107" s="103" t="inlineStr">
        <is>
          <t>和乐业</t>
        </is>
      </c>
      <c r="C107" s="103" t="inlineStr">
        <is>
          <t>YXGJ-CZHY-01</t>
        </is>
      </c>
      <c r="D107" s="103" t="inlineStr">
        <is>
          <t>【渠道工作台】渠道工作台-垂直行业管理-稽核管理-分销员进行稽核-界面开发</t>
        </is>
      </c>
      <c r="E107" s="103" t="inlineStr">
        <is>
          <t>EI</t>
        </is>
      </c>
      <c r="F107" s="104" t="inlineStr"/>
      <c r="G107" s="104" t="inlineStr">
        <is>
          <t>【渠道工作台】渠道工作台-垂直行业管理-稽核管理-分销员进行稽核-界面开发，具体如下
： 1、</t>
        </is>
      </c>
      <c r="H107" s="103" t="inlineStr">
        <is>
          <t>新增</t>
        </is>
      </c>
      <c r="I107" s="105">
        <f>IF(E107="EI",4,IF(E107="EO",5,IF(E107="EQ",4,IF(E107="ILF",10,IF(E107="EIF",7,0)))))*IF(H107="修改",0.6,1)</f>
        <v/>
      </c>
      <c r="J107" s="106" t="n">
        <v>2</v>
      </c>
      <c r="K107" s="106" t="n">
        <v>1</v>
      </c>
      <c r="L107" s="105">
        <f>J107*K107</f>
        <v/>
      </c>
      <c r="M107" s="107" t="inlineStr"/>
      <c r="N107" t="inlineStr"/>
    </row>
    <row r="108">
      <c r="A108" s="103" t="n">
        <v>106</v>
      </c>
      <c r="B108" s="103" t="inlineStr">
        <is>
          <t>和乐业</t>
        </is>
      </c>
      <c r="C108" s="103" t="inlineStr">
        <is>
          <t>YXGJ-CZHY-01</t>
        </is>
      </c>
      <c r="D108" s="103" t="inlineStr">
        <is>
          <t>【渠道工作台】渠道工作台-垂直行业管理-稽核管理-分销员进行稽核-接口开发</t>
        </is>
      </c>
      <c r="E108" s="103" t="inlineStr">
        <is>
          <t>ILF</t>
        </is>
      </c>
      <c r="F108" s="104" t="inlineStr"/>
      <c r="G108" s="104" t="inlineStr">
        <is>
          <t>【渠道工作台】渠道工作台-垂直行业管理-稽核管理-分销员进行稽核-接口开发，具体如下
： 1、</t>
        </is>
      </c>
      <c r="H108" s="103" t="inlineStr">
        <is>
          <t>新增</t>
        </is>
      </c>
      <c r="I108" s="105">
        <f>IF(E108="EI",4,IF(E108="EO",5,IF(E108="EQ",4,IF(E108="ILF",10,IF(E108="EIF",7,0)))))*IF(H108="修改",0.6,1)</f>
        <v/>
      </c>
      <c r="J108" s="106" t="n">
        <v>1</v>
      </c>
      <c r="K108" s="106" t="n">
        <v>1</v>
      </c>
      <c r="L108" s="105">
        <f>J108*K108</f>
        <v/>
      </c>
      <c r="M108" s="107" t="inlineStr"/>
      <c r="N108" t="inlineStr"/>
    </row>
    <row r="109">
      <c r="A109" s="103" t="n">
        <v>107</v>
      </c>
      <c r="B109" s="103" t="inlineStr">
        <is>
          <t>和乐业</t>
        </is>
      </c>
      <c r="C109" s="103" t="inlineStr">
        <is>
          <t>YXGJ-CZHY-01</t>
        </is>
      </c>
      <c r="D109" s="103" t="inlineStr">
        <is>
          <t>【渠道工作台】渠道工作台-垂直行业管理-销售概况-查询分销员销售概况-界面开发</t>
        </is>
      </c>
      <c r="E109" s="103" t="inlineStr">
        <is>
          <t>EI</t>
        </is>
      </c>
      <c r="F109" s="104" t="inlineStr"/>
      <c r="G109" s="104" t="inlineStr">
        <is>
          <t>【渠道工作台】渠道工作台-垂直行业管理-销售概况-查询分销员销售概况-界面开发，具体如下
： 1、</t>
        </is>
      </c>
      <c r="H109" s="103" t="inlineStr">
        <is>
          <t>新增</t>
        </is>
      </c>
      <c r="I109" s="105">
        <f>IF(E109="EI",4,IF(E109="EO",5,IF(E109="EQ",4,IF(E109="ILF",10,IF(E109="EIF",7,0)))))*IF(H109="修改",0.6,1)</f>
        <v/>
      </c>
      <c r="J109" s="106" t="n">
        <v>2</v>
      </c>
      <c r="K109" s="106" t="n">
        <v>1</v>
      </c>
      <c r="L109" s="105">
        <f>J109*K109</f>
        <v/>
      </c>
      <c r="M109" s="107" t="inlineStr"/>
      <c r="N109" t="inlineStr"/>
    </row>
    <row r="110">
      <c r="A110" s="103" t="n">
        <v>108</v>
      </c>
      <c r="B110" s="103" t="inlineStr">
        <is>
          <t>和乐业</t>
        </is>
      </c>
      <c r="C110" s="103" t="inlineStr">
        <is>
          <t>YXGJ-CZHY-01</t>
        </is>
      </c>
      <c r="D110" s="103" t="inlineStr">
        <is>
          <t>【渠道工作台】渠道工作台-垂直行业管理-销售概况-查询分销员销售概况-接口开发</t>
        </is>
      </c>
      <c r="E110" s="103" t="inlineStr">
        <is>
          <t>ILF</t>
        </is>
      </c>
      <c r="F110" s="104" t="inlineStr"/>
      <c r="G110" s="104" t="inlineStr">
        <is>
          <t>【渠道工作台】渠道工作台-垂直行业管理-销售概况-查询分销员销售概况-接口开发，具体如下
： 1、</t>
        </is>
      </c>
      <c r="H110" s="103" t="inlineStr">
        <is>
          <t>新增</t>
        </is>
      </c>
      <c r="I110" s="105">
        <f>IF(E110="EI",4,IF(E110="EO",5,IF(E110="EQ",4,IF(E110="ILF",10,IF(E110="EIF",7,0)))))*IF(H110="修改",0.6,1)</f>
        <v/>
      </c>
      <c r="J110" s="106" t="n">
        <v>1</v>
      </c>
      <c r="K110" s="106" t="n">
        <v>1</v>
      </c>
      <c r="L110" s="105">
        <f>J110*K110</f>
        <v/>
      </c>
      <c r="M110" s="107" t="inlineStr"/>
      <c r="N110" t="inlineStr"/>
    </row>
    <row r="111">
      <c r="A111" s="103" t="n">
        <v>109</v>
      </c>
      <c r="B111" s="103" t="inlineStr">
        <is>
          <t>和乐业</t>
        </is>
      </c>
      <c r="C111" s="103" t="inlineStr">
        <is>
          <t>YXGJ-CZHY-01</t>
        </is>
      </c>
      <c r="D111" s="103" t="inlineStr">
        <is>
          <t>【渠道工作台】渠道工作台-垂直行业管理-卡劵订单-查询分销员销售的卡劵订单-界面开发</t>
        </is>
      </c>
      <c r="E111" s="103" t="inlineStr">
        <is>
          <t>EI</t>
        </is>
      </c>
      <c r="F111" s="104" t="inlineStr"/>
      <c r="G111" s="104" t="inlineStr">
        <is>
          <t>【渠道工作台】渠道工作台-垂直行业管理-卡劵订单-查询分销员销售的卡劵订单-界面开发，具体如下
： 1、</t>
        </is>
      </c>
      <c r="H111" s="103" t="inlineStr">
        <is>
          <t>新增</t>
        </is>
      </c>
      <c r="I111" s="105">
        <f>IF(E111="EI",4,IF(E111="EO",5,IF(E111="EQ",4,IF(E111="ILF",10,IF(E111="EIF",7,0)))))*IF(H111="修改",0.6,1)</f>
        <v/>
      </c>
      <c r="J111" s="106" t="n">
        <v>2</v>
      </c>
      <c r="K111" s="106" t="n">
        <v>1</v>
      </c>
      <c r="L111" s="105">
        <f>J111*K111</f>
        <v/>
      </c>
      <c r="M111" s="107" t="inlineStr"/>
      <c r="N111" t="inlineStr"/>
    </row>
    <row r="112">
      <c r="A112" s="103" t="n">
        <v>110</v>
      </c>
      <c r="B112" s="103" t="inlineStr">
        <is>
          <t>和乐业</t>
        </is>
      </c>
      <c r="C112" s="103" t="inlineStr">
        <is>
          <t>YXGJ-CZHY-01</t>
        </is>
      </c>
      <c r="D112" s="103" t="inlineStr">
        <is>
          <t>【渠道工作台】渠道工作台-垂直行业管理-卡劵订单-查询分销员销售的卡劵订单-接口开发</t>
        </is>
      </c>
      <c r="E112" s="103" t="inlineStr">
        <is>
          <t>ILF</t>
        </is>
      </c>
      <c r="F112" s="104" t="inlineStr"/>
      <c r="G112" s="104" t="inlineStr">
        <is>
          <t>【渠道工作台】渠道工作台-垂直行业管理-卡劵订单-查询分销员销售的卡劵订单-接口开发，具体如下
： 1、</t>
        </is>
      </c>
      <c r="H112" s="103" t="inlineStr">
        <is>
          <t>新增</t>
        </is>
      </c>
      <c r="I112" s="105">
        <f>IF(E112="EI",4,IF(E112="EO",5,IF(E112="EQ",4,IF(E112="ILF",10,IF(E112="EIF",7,0)))))*IF(H112="修改",0.6,1)</f>
        <v/>
      </c>
      <c r="J112" s="106" t="n">
        <v>1</v>
      </c>
      <c r="K112" s="106" t="n">
        <v>1</v>
      </c>
      <c r="L112" s="105">
        <f>J112*K112</f>
        <v/>
      </c>
      <c r="M112" s="107" t="inlineStr"/>
      <c r="N112" t="inlineStr"/>
    </row>
    <row r="113">
      <c r="A113" s="103" t="n">
        <v>111</v>
      </c>
      <c r="B113" s="103" t="inlineStr">
        <is>
          <t>和乐业</t>
        </is>
      </c>
      <c r="C113" s="103" t="inlineStr">
        <is>
          <t>YXGJ-CZHY-01</t>
        </is>
      </c>
      <c r="D113" s="103" t="inlineStr">
        <is>
          <t>【渠道工作台】渠道工作台-垂直行业管理-业务订单-查询分销员销售的业务订单-界面开发</t>
        </is>
      </c>
      <c r="E113" s="103" t="inlineStr">
        <is>
          <t>EI</t>
        </is>
      </c>
      <c r="F113" s="104" t="inlineStr"/>
      <c r="G113" s="104" t="inlineStr">
        <is>
          <t>【渠道工作台】渠道工作台-垂直行业管理-业务订单-查询分销员销售的业务订单-界面开发，具体如下
： 1、</t>
        </is>
      </c>
      <c r="H113" s="103" t="inlineStr">
        <is>
          <t>新增</t>
        </is>
      </c>
      <c r="I113" s="105">
        <f>IF(E113="EI",4,IF(E113="EO",5,IF(E113="EQ",4,IF(E113="ILF",10,IF(E113="EIF",7,0)))))*IF(H113="修改",0.6,1)</f>
        <v/>
      </c>
      <c r="J113" s="106" t="n">
        <v>2</v>
      </c>
      <c r="K113" s="106" t="n">
        <v>1</v>
      </c>
      <c r="L113" s="105">
        <f>J113*K113</f>
        <v/>
      </c>
      <c r="M113" s="107" t="inlineStr"/>
      <c r="N113" t="inlineStr"/>
    </row>
    <row r="114">
      <c r="A114" s="103" t="n">
        <v>112</v>
      </c>
      <c r="B114" s="103" t="inlineStr">
        <is>
          <t>和乐业</t>
        </is>
      </c>
      <c r="C114" s="103" t="inlineStr">
        <is>
          <t>YXGJ-CZHY-01</t>
        </is>
      </c>
      <c r="D114" s="103" t="inlineStr">
        <is>
          <t>【渠道工作台】渠道工作台-垂直行业管理-业务订单-查询分销员销售的业务订单-接口开发</t>
        </is>
      </c>
      <c r="E114" s="103" t="inlineStr">
        <is>
          <t>ILF</t>
        </is>
      </c>
      <c r="F114" s="104" t="inlineStr"/>
      <c r="G114" s="104" t="inlineStr">
        <is>
          <t>【渠道工作台】渠道工作台-垂直行业管理-业务订单-查询分销员销售的业务订单-接口开发，具体如下
： 1、</t>
        </is>
      </c>
      <c r="H114" s="103" t="inlineStr">
        <is>
          <t>新增</t>
        </is>
      </c>
      <c r="I114" s="105">
        <f>IF(E114="EI",4,IF(E114="EO",5,IF(E114="EQ",4,IF(E114="ILF",10,IF(E114="EIF",7,0)))))*IF(H114="修改",0.6,1)</f>
        <v/>
      </c>
      <c r="J114" s="106" t="n">
        <v>1</v>
      </c>
      <c r="K114" s="106" t="n">
        <v>1</v>
      </c>
      <c r="L114" s="105">
        <f>J114*K114</f>
        <v/>
      </c>
      <c r="M114" s="107" t="inlineStr"/>
      <c r="N114" t="inlineStr"/>
    </row>
  </sheetData>
  <dataValidations count="4">
    <dataValidation sqref="E3:E87" showDropDown="0" showInputMessage="1" showErrorMessage="1" allowBlank="1" type="list">
      <formula1>"EI,EO,EQ,ILF,EIF"</formula1>
    </dataValidation>
    <dataValidation sqref="F3:F19" showDropDown="0" showInputMessage="1" showErrorMessage="0" allowBlank="1" type="list">
      <formula1>'附录1-FPA评估方法说明'!$C$2:$C$14</formula1>
    </dataValidation>
    <dataValidation sqref="F20:F87" showDropDown="0" showInputMessage="1" showErrorMessage="1" allowBlank="1" type="list">
      <formula1>'附录1-FPA评估方法说明'!$C$2:$C$14</formula1>
    </dataValidation>
    <dataValidation sqref="H3:H87" showDropDown="0" showInputMessage="1" showErrorMessage="1" allowBlank="1" type="list">
      <formula1>"新增,修改"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B1" zoomScaleSheetLayoutView="60" workbookViewId="0">
      <selection activeCell="C34" sqref="C34"/>
    </sheetView>
  </sheetViews>
  <sheetFormatPr baseColWidth="8" defaultColWidth="9.75675675675676" defaultRowHeight="12.4"/>
  <cols>
    <col width="120.621621621622" customWidth="1" style="78" min="1" max="1"/>
    <col width="9.75675675675676" customWidth="1" style="78" min="2" max="16384"/>
  </cols>
  <sheetData>
    <row r="1">
      <c r="A1" s="79" t="inlineStr">
        <is>
          <t>外部输入处理EI (External Input)是获得数据的过程，对终端用户的输入进行相关的处理。</t>
        </is>
      </c>
      <c r="C1" s="78" t="inlineStr">
        <is>
          <t>判定原则</t>
        </is>
      </c>
    </row>
    <row r="2">
      <c r="A2" s="80" t="inlineStr">
        <is>
          <t>外部输出处理EO (External Output)是反馈数据的过程，完成对票据、报表、短信、邮件等的输出。</t>
        </is>
      </c>
      <c r="C2" s="78" t="inlineStr">
        <is>
          <t>EI:1)修改或增加界面的个数</t>
        </is>
      </c>
    </row>
    <row r="3">
      <c r="A3" s="80" t="inlineStr">
        <is>
          <t xml:space="preserve">外部查询处理EQ(External Inquiry)是针对终端用户的查询请求，输出相应的检索结果。 </t>
        </is>
      </c>
      <c r="C3" s="78" t="inlineStr">
        <is>
          <t>EI:2)对ILF的插入、修改、删除操作的次数（无涉及画面的）</t>
        </is>
      </c>
    </row>
    <row r="4">
      <c r="A4" s="80" t="inlineStr">
        <is>
          <t>内部逻辑文件ILF (Internal Logical File)是在信息系统内部，为了完成相关功能使用的逻辑文件，包括顺序文件、数据库表、临时文件等。</t>
        </is>
      </c>
      <c r="C4" s="78" t="inlineStr">
        <is>
          <t>EI:3)从外系统接口获取数据；</t>
        </is>
      </c>
    </row>
    <row r="5">
      <c r="A5" s="80" t="inlineStr">
        <is>
          <t>外部接口（参照）文件EIF (External Interface File)是该系统和外部其他信息系统为了交换数据而使用的接口文件。</t>
        </is>
      </c>
      <c r="C5" s="78" t="inlineStr">
        <is>
          <t>EI:4)用户从IVR、短营、网营的每次输入</t>
        </is>
      </c>
    </row>
    <row r="6">
      <c r="A6" s="80" t="n"/>
      <c r="C6" s="78" t="inlineStr">
        <is>
          <t>EO:1)输出的票据、报表、统计、文件、短信、彩信、邮件的个数</t>
        </is>
      </c>
    </row>
    <row r="7" ht="12.85" customHeight="1" s="52">
      <c r="A7" s="81" t="inlineStr">
        <is>
          <t>2.   确定EI、EQ、EO、ILF、EIF个数</t>
        </is>
      </c>
      <c r="C7" s="78" t="inlineStr">
        <is>
          <t>EO:2)IVR、短营、网营的调用外接口的反馈处理</t>
        </is>
      </c>
    </row>
    <row r="8" ht="12.45" customHeight="1" s="52">
      <c r="A8" s="81" t="inlineStr">
        <is>
          <t>2.1 外部输入处理（EI）的判定基准</t>
        </is>
      </c>
      <c r="C8" s="78" t="inlineStr">
        <is>
          <t>EQ:1)提供查询界面输入并展示返回结果</t>
        </is>
      </c>
    </row>
    <row r="9" ht="12.85" customHeight="1" s="52">
      <c r="A9" s="82" t="inlineStr">
        <is>
          <t>l  数据是从系统边界外部获取的</t>
        </is>
      </c>
      <c r="C9" s="78" t="inlineStr">
        <is>
          <t>EQ:2)配置每档套餐视为一个EQ</t>
        </is>
      </c>
    </row>
    <row r="10" ht="12.85" customHeight="1" s="52">
      <c r="A10" s="82" t="inlineStr">
        <is>
          <t>l  事务处理是对ILF的插入、修改、删除操作，但当数据是控制信息时，此规则不适用</t>
        </is>
      </c>
      <c r="C10" s="78" t="inlineStr">
        <is>
          <t>EQ:3)工作流的一个流程变化视为一个EQ</t>
        </is>
      </c>
    </row>
    <row r="11" ht="12.45" customHeight="1" s="52">
      <c r="A11" s="81" t="inlineStr">
        <is>
          <t>通常EI个数计算规则如下：</t>
        </is>
      </c>
      <c r="C11" s="78" t="inlineStr">
        <is>
          <t>EQ:4)KPI计算与输出视为1个EQ</t>
        </is>
      </c>
    </row>
    <row r="12" ht="12.85" customHeight="1" s="52">
      <c r="A12" s="81" t="inlineStr">
        <is>
          <t>1）      修改或增加界面的个数；</t>
        </is>
      </c>
      <c r="C12" s="78" t="inlineStr">
        <is>
          <t>ILF:1)后台数据库变更（包括增加、删除以及对字段的变更）的表个数</t>
        </is>
      </c>
    </row>
    <row r="13" ht="12.85" customHeight="1" s="52">
      <c r="A13" s="81" t="inlineStr">
        <is>
          <t>2）      对ILF的插入、修改、删除操作的次数（无涉及画面的）。</t>
        </is>
      </c>
      <c r="C13" s="78" t="inlineStr">
        <is>
          <t>ILF:2)计费处理用到的文件、内存表的个数</t>
        </is>
      </c>
    </row>
    <row r="14" ht="12.85" customHeight="1" s="52">
      <c r="A14" s="83" t="inlineStr">
        <is>
          <t>3）      从外系统接口获取数据；</t>
        </is>
      </c>
      <c r="C14" s="78" t="inlineStr">
        <is>
          <t>EIF:1)评估范围外相关的表（文件）的个数</t>
        </is>
      </c>
    </row>
    <row r="15" ht="12.85" customHeight="1" s="52">
      <c r="A15" s="83" t="inlineStr">
        <is>
          <t>4）      用户从IVR、短营、网营的每次输入；</t>
        </is>
      </c>
    </row>
    <row r="16">
      <c r="A16" s="83" t="n"/>
    </row>
    <row r="17" ht="12.45" customHeight="1" s="52">
      <c r="A17" s="81" t="inlineStr">
        <is>
          <t>2.2外部输出处理（EO）的判定基准</t>
        </is>
      </c>
    </row>
    <row r="18" ht="12.85" customHeight="1" s="52">
      <c r="A18" s="82" t="inlineStr">
        <is>
          <t>l  向系统边界的外部输出数据</t>
        </is>
      </c>
    </row>
    <row r="19" ht="12.85" customHeight="1" s="52">
      <c r="A19" s="82" t="inlineStr">
        <is>
          <t>l  一般可以包含下列业务处理逻辑：</t>
        </is>
      </c>
    </row>
    <row r="20" ht="12.45" customHeight="1" s="52">
      <c r="A20" s="82" t="inlineStr">
        <is>
          <t>一个以上的数学运算处理</t>
        </is>
      </c>
    </row>
    <row r="21" ht="12.45" customHeight="1" s="52">
      <c r="A21" s="82" t="inlineStr">
        <is>
          <t>由基础数据生成新的数据</t>
        </is>
      </c>
    </row>
    <row r="22" ht="12.45" customHeight="1" s="52">
      <c r="A22" s="82" t="inlineStr">
        <is>
          <t>对一个以上的ILF进行插入、修改、删除操作</t>
        </is>
      </c>
    </row>
    <row r="23" ht="12.45" customHeight="1" s="52">
      <c r="A23" s="82" t="inlineStr">
        <is>
          <t>执行系统动作的变更</t>
        </is>
      </c>
    </row>
    <row r="24" ht="12.45" customHeight="1" s="52">
      <c r="A24" s="81" t="inlineStr">
        <is>
          <t>通常EO个数计算如下：</t>
        </is>
      </c>
    </row>
    <row r="25" ht="12.85" customHeight="1" s="52">
      <c r="A25" s="81" t="inlineStr">
        <is>
          <t>1）      输出的票据、报表、统计、文件、短信、彩信、邮件的个数</t>
        </is>
      </c>
    </row>
    <row r="26" ht="12.85" customHeight="1" s="52">
      <c r="A26" s="83" t="inlineStr">
        <is>
          <t>2）      IVR、短营、网营的调用外接口的反馈处理</t>
        </is>
      </c>
    </row>
    <row r="27">
      <c r="A27" s="83" t="n"/>
    </row>
    <row r="28" ht="12.85" customHeight="1" s="52">
      <c r="A28" s="81" t="inlineStr">
        <is>
          <t>2.3      外部查询处理（EQ）的判定基准</t>
        </is>
      </c>
    </row>
    <row r="29" ht="12.85" customHeight="1" s="52">
      <c r="A29" s="82" t="inlineStr">
        <is>
          <t>l  从系统边界外部获取数据</t>
        </is>
      </c>
    </row>
    <row r="30" ht="12.85" customHeight="1" s="52">
      <c r="A30" s="82" t="inlineStr">
        <is>
          <t>l  向系统边界外部输出数据</t>
        </is>
      </c>
    </row>
    <row r="31" ht="12.85" customHeight="1" s="52">
      <c r="A31" s="82" t="inlineStr">
        <is>
          <t>l  如果包含下列处理逻辑，则不是EQ：</t>
        </is>
      </c>
    </row>
    <row r="32" ht="12.45" customHeight="1" s="52">
      <c r="A32" s="82" t="inlineStr">
        <is>
          <t>一个以上的数学运算处理</t>
        </is>
      </c>
    </row>
    <row r="33" ht="12.45" customHeight="1" s="52">
      <c r="A33" s="82" t="inlineStr">
        <is>
          <t>由基础数据生成新的数据</t>
        </is>
      </c>
    </row>
    <row r="34" ht="12.45" customHeight="1" s="52">
      <c r="A34" s="82" t="inlineStr">
        <is>
          <t>对一个以上的ILF进行插入、修改、删除操作</t>
        </is>
      </c>
    </row>
    <row r="35" ht="12.45" customHeight="1" s="52">
      <c r="A35" s="82" t="inlineStr">
        <is>
          <t>执行系统动作的变更</t>
        </is>
      </c>
    </row>
    <row r="36" ht="12.45" customHeight="1" s="52">
      <c r="A36" s="81" t="inlineStr">
        <is>
          <t>通常EQ不能与EO/EI重复计算，EQ个数的计算规则如下：</t>
        </is>
      </c>
    </row>
    <row r="37" ht="12.85" customHeight="1" s="52">
      <c r="A37" s="83" t="inlineStr">
        <is>
          <t xml:space="preserve">1)     提供查询界面输入并展示返回结果 </t>
        </is>
      </c>
    </row>
    <row r="38" ht="12.85" customHeight="1" s="52">
      <c r="A38" s="83" t="inlineStr">
        <is>
          <t>2)     配置每档套餐视为一个EQ</t>
        </is>
      </c>
    </row>
    <row r="39" ht="12.85" customHeight="1" s="52">
      <c r="A39" s="83" t="inlineStr">
        <is>
          <t>3)     工作流的一个流程变化视为一个EQ</t>
        </is>
      </c>
    </row>
    <row r="40" ht="12.85" customHeight="1" s="52">
      <c r="A40" s="83" t="inlineStr">
        <is>
          <t>4)     KPI计算与输出视为1个EQ</t>
        </is>
      </c>
    </row>
    <row r="41">
      <c r="A41" s="84" t="n"/>
    </row>
    <row r="42" ht="12.45" customHeight="1" s="52">
      <c r="A42" s="81" t="inlineStr">
        <is>
          <t>2.4内部逻辑文件（ILF）的判定基准</t>
        </is>
      </c>
    </row>
    <row r="43" ht="12.45" customHeight="1" s="52">
      <c r="A43" s="81" t="inlineStr">
        <is>
          <t>在系统评估范围内，有检索操作，同时也有插入、更新、删除操作的数据</t>
        </is>
      </c>
    </row>
    <row r="44" ht="12.45" customHeight="1" s="52">
      <c r="A44" s="81" t="inlineStr">
        <is>
          <t>通常ILF个数＝表（文件）的个数，需要进行归类和剔除，检索同一个文件，只算一个ILF。</t>
        </is>
      </c>
    </row>
    <row r="45" ht="12.85" customHeight="1" s="52">
      <c r="A45" s="83" t="inlineStr">
        <is>
          <t>1)  后台数据库变更（包括增加、删除以及对字段的变更）的表个数，</t>
        </is>
      </c>
    </row>
    <row r="46" ht="12.85" customHeight="1" s="52">
      <c r="A46" s="83" t="inlineStr">
        <is>
          <t>2)  计费处理用到的文件、内存表的个数。</t>
        </is>
      </c>
    </row>
    <row r="47">
      <c r="A47" s="83" t="n"/>
    </row>
    <row r="48" ht="12.45" customHeight="1" s="52">
      <c r="A48" s="81" t="inlineStr">
        <is>
          <t>2.5 外部接口文件（EIF）的判定基准</t>
        </is>
      </c>
    </row>
    <row r="49" ht="12.85" customHeight="1" s="52">
      <c r="A49" s="82" t="inlineStr">
        <is>
          <t>l  在系统评估范围内的系统检索，在评估范围外的系统保存的数据</t>
        </is>
      </c>
    </row>
    <row r="50" ht="12.85" customHeight="1" s="52">
      <c r="A50" s="82" t="inlineStr">
        <is>
          <t>l 在系统评估范围内，没有插入、更新、删除等操作的数据</t>
        </is>
      </c>
    </row>
    <row r="51" ht="12.85" customHeight="1" s="52">
      <c r="A51" s="82" t="inlineStr">
        <is>
          <t>l 是系统评估范围外系统的ILF</t>
        </is>
      </c>
    </row>
    <row r="52" ht="12.45" customHeight="1" s="52">
      <c r="A52" s="81" t="inlineStr">
        <is>
          <t xml:space="preserve">     通常EIF个数的计算：</t>
        </is>
      </c>
    </row>
    <row r="53" ht="13.2" customHeight="1" s="52">
      <c r="A53" s="85" t="inlineStr">
        <is>
          <t>1） 评估范围外相关的表（文件）的个数</t>
        </is>
      </c>
    </row>
  </sheetData>
  <pageMargins left="0.7" right="0.7" top="0.75" bottom="0.75" header="0.3" footer="0.3"/>
  <pageSetup orientation="portrait" paperSize="9" horizontalDpi="203" verticalDpi="20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topLeftCell="A5" workbookViewId="0">
      <selection activeCell="Q14" sqref="Q14"/>
    </sheetView>
  </sheetViews>
  <sheetFormatPr baseColWidth="8" defaultColWidth="9" defaultRowHeight="14.1"/>
  <cols>
    <col hidden="1" width="9" customWidth="1" style="52" min="5" max="6"/>
    <col hidden="1" width="9" customWidth="1" style="52" min="8" max="9"/>
    <col hidden="1" width="9" customWidth="1" style="52" min="11" max="13"/>
    <col width="19.1081081081081" customWidth="1" style="52" min="17" max="17"/>
  </cols>
  <sheetData>
    <row r="1" ht="87" customHeight="1" s="52">
      <c r="A1" s="58" t="inlineStr">
        <is>
          <t>类别</t>
        </is>
      </c>
      <c r="B1" s="59" t="inlineStr">
        <is>
          <t>子类别</t>
        </is>
      </c>
      <c r="C1" s="59" t="inlineStr">
        <is>
          <t>类型</t>
        </is>
      </c>
      <c r="D1" s="60" t="inlineStr">
        <is>
          <t>低对应工时(人天）</t>
        </is>
      </c>
      <c r="E1" s="60" t="inlineStr">
        <is>
          <t>功能点个数</t>
        </is>
      </c>
      <c r="F1" s="60" t="inlineStr">
        <is>
          <t>低工时小计</t>
        </is>
      </c>
      <c r="G1" s="60" t="inlineStr">
        <is>
          <t>中对应工时(人天）</t>
        </is>
      </c>
      <c r="H1" s="60" t="inlineStr">
        <is>
          <t>功能点个数</t>
        </is>
      </c>
      <c r="I1" s="60" t="inlineStr">
        <is>
          <t>中工时小计</t>
        </is>
      </c>
      <c r="J1" s="60" t="inlineStr">
        <is>
          <t>高对应工时(人天）</t>
        </is>
      </c>
      <c r="K1" s="60" t="inlineStr">
        <is>
          <t>功能点个数</t>
        </is>
      </c>
      <c r="L1" s="60" t="inlineStr">
        <is>
          <t>高工时小计</t>
        </is>
      </c>
      <c r="M1" s="61" t="inlineStr">
        <is>
          <t xml:space="preserve">关键信息如：界面、服务、表、接口配置、进程等描述
</t>
        </is>
      </c>
      <c r="N1" s="62" t="n"/>
      <c r="O1" s="63" t="inlineStr">
        <is>
          <t>类别</t>
        </is>
      </c>
      <c r="P1" s="63" t="inlineStr">
        <is>
          <t>子类名</t>
        </is>
      </c>
      <c r="Q1" s="63" t="inlineStr">
        <is>
          <t>复杂度纬度名称</t>
        </is>
      </c>
      <c r="R1" s="63" t="inlineStr">
        <is>
          <t>复杂度纬度值</t>
        </is>
      </c>
      <c r="S1" s="63" t="inlineStr">
        <is>
          <t>边界类型</t>
        </is>
      </c>
      <c r="T1" s="63" t="inlineStr">
        <is>
          <t>边界值</t>
        </is>
      </c>
    </row>
    <row r="2">
      <c r="A2" s="64" t="inlineStr">
        <is>
          <t>界面类</t>
        </is>
      </c>
      <c r="B2" s="65" t="inlineStr">
        <is>
          <t>前台界面</t>
        </is>
      </c>
      <c r="C2" s="64" t="inlineStr">
        <is>
          <t>新增</t>
        </is>
      </c>
      <c r="D2" s="118" t="inlineStr">
        <is>
          <t>0-5</t>
        </is>
      </c>
      <c r="E2" s="66" t="n"/>
      <c r="F2" s="66">
        <f>D2*E2</f>
        <v/>
      </c>
      <c r="G2" s="118" t="inlineStr">
        <is>
          <t>6-8</t>
        </is>
      </c>
      <c r="H2" s="66" t="n"/>
      <c r="I2" s="66">
        <f>G2*H2</f>
        <v/>
      </c>
      <c r="J2" s="118" t="inlineStr">
        <is>
          <t>9-10</t>
        </is>
      </c>
      <c r="K2" s="66" t="n"/>
      <c r="L2" s="66">
        <f>J2*K2</f>
        <v/>
      </c>
      <c r="M2" s="67" t="n"/>
      <c r="N2" s="62" t="n"/>
      <c r="O2" s="68" t="inlineStr">
        <is>
          <t>界面类</t>
        </is>
      </c>
      <c r="P2" s="68" t="inlineStr">
        <is>
          <t>前台界面</t>
        </is>
      </c>
      <c r="Q2" s="68" t="inlineStr">
        <is>
          <t>页面元素数量</t>
        </is>
      </c>
      <c r="R2" s="68" t="n"/>
      <c r="S2" s="68" t="inlineStr">
        <is>
          <t>低</t>
        </is>
      </c>
      <c r="T2" s="68" t="inlineStr">
        <is>
          <t>&lt;=10</t>
        </is>
      </c>
    </row>
    <row r="3">
      <c r="A3" s="64" t="n"/>
      <c r="B3" s="65" t="inlineStr">
        <is>
          <t>前台界面</t>
        </is>
      </c>
      <c r="C3" s="64" t="inlineStr">
        <is>
          <t>修改</t>
        </is>
      </c>
      <c r="D3" s="118" t="inlineStr">
        <is>
          <t>0-3</t>
        </is>
      </c>
      <c r="E3" s="66" t="n"/>
      <c r="F3" s="66">
        <f>D3*E3</f>
        <v/>
      </c>
      <c r="G3" s="118" t="inlineStr">
        <is>
          <t>4-5</t>
        </is>
      </c>
      <c r="H3" s="66" t="n"/>
      <c r="I3" s="66">
        <f>G3*H3</f>
        <v/>
      </c>
      <c r="J3" s="118" t="inlineStr">
        <is>
          <t>6-7</t>
        </is>
      </c>
      <c r="K3" s="66" t="n"/>
      <c r="L3" s="66">
        <f>J3*K3</f>
        <v/>
      </c>
      <c r="M3" s="67" t="n"/>
      <c r="N3" s="62" t="n"/>
      <c r="O3" s="68" t="n"/>
      <c r="P3" s="68" t="n"/>
      <c r="Q3" s="68" t="n"/>
      <c r="R3" s="68" t="n"/>
      <c r="S3" s="68" t="inlineStr">
        <is>
          <t>中</t>
        </is>
      </c>
      <c r="T3" s="69" t="inlineStr">
        <is>
          <t>11-29</t>
        </is>
      </c>
    </row>
    <row r="4">
      <c r="A4" s="64" t="inlineStr">
        <is>
          <t>服务类</t>
        </is>
      </c>
      <c r="B4" s="65" t="inlineStr">
        <is>
          <t>业务服务</t>
        </is>
      </c>
      <c r="C4" s="64" t="inlineStr">
        <is>
          <t>新增</t>
        </is>
      </c>
      <c r="D4" s="118" t="inlineStr">
        <is>
          <t>0-5</t>
        </is>
      </c>
      <c r="E4" s="66" t="n"/>
      <c r="F4" s="66">
        <f>D4*E4</f>
        <v/>
      </c>
      <c r="G4" s="118" t="inlineStr">
        <is>
          <t>6-8</t>
        </is>
      </c>
      <c r="H4" s="66" t="n"/>
      <c r="I4" s="66">
        <f>G4*H4</f>
        <v/>
      </c>
      <c r="J4" s="118" t="inlineStr">
        <is>
          <t>9-10</t>
        </is>
      </c>
      <c r="K4" s="66" t="n"/>
      <c r="L4" s="66">
        <f>J4*K4</f>
        <v/>
      </c>
      <c r="M4" s="70" t="n"/>
      <c r="N4" s="62" t="n"/>
      <c r="O4" s="68" t="n"/>
      <c r="P4" s="68" t="n"/>
      <c r="Q4" s="68" t="n"/>
      <c r="R4" s="68" t="n"/>
      <c r="S4" s="68" t="inlineStr">
        <is>
          <t>高</t>
        </is>
      </c>
      <c r="T4" s="68" t="inlineStr">
        <is>
          <t>&gt;=30</t>
        </is>
      </c>
    </row>
    <row r="5">
      <c r="A5" s="64" t="n"/>
      <c r="B5" s="65" t="inlineStr">
        <is>
          <t>业务服务</t>
        </is>
      </c>
      <c r="C5" s="64" t="inlineStr">
        <is>
          <t>修改</t>
        </is>
      </c>
      <c r="D5" s="118" t="inlineStr">
        <is>
          <t>0-3</t>
        </is>
      </c>
      <c r="E5" s="66" t="n"/>
      <c r="F5" s="66">
        <f>D5*E5</f>
        <v/>
      </c>
      <c r="G5" s="118" t="inlineStr">
        <is>
          <t>4-5</t>
        </is>
      </c>
      <c r="H5" s="66" t="n"/>
      <c r="I5" s="66">
        <f>G5*H5</f>
        <v/>
      </c>
      <c r="J5" s="118" t="inlineStr">
        <is>
          <t>6-7</t>
        </is>
      </c>
      <c r="K5" s="66" t="n"/>
      <c r="L5" s="66">
        <f>J5*K5</f>
        <v/>
      </c>
      <c r="M5" s="67" t="n"/>
      <c r="N5" s="62" t="n"/>
      <c r="O5" s="68" t="n"/>
      <c r="P5" s="68" t="n"/>
      <c r="Q5" s="68" t="inlineStr">
        <is>
          <t>业务规则数量</t>
        </is>
      </c>
      <c r="R5" s="68" t="n"/>
      <c r="S5" s="68" t="inlineStr">
        <is>
          <t>低</t>
        </is>
      </c>
      <c r="T5" s="68" t="inlineStr">
        <is>
          <t>&lt;=3</t>
        </is>
      </c>
    </row>
    <row r="6">
      <c r="A6" s="64" t="inlineStr">
        <is>
          <t>微服务类</t>
        </is>
      </c>
      <c r="B6" s="65" t="inlineStr">
        <is>
          <t>业务服务</t>
        </is>
      </c>
      <c r="C6" s="64" t="inlineStr">
        <is>
          <t>新增</t>
        </is>
      </c>
      <c r="D6" s="118" t="inlineStr">
        <is>
          <t>0-5</t>
        </is>
      </c>
      <c r="E6" s="66" t="n"/>
      <c r="F6" s="66">
        <f>D6*E6</f>
        <v/>
      </c>
      <c r="G6" s="118" t="inlineStr">
        <is>
          <t>6-8</t>
        </is>
      </c>
      <c r="H6" s="66" t="n"/>
      <c r="I6" s="66">
        <f>G6*H6</f>
        <v/>
      </c>
      <c r="J6" s="118" t="inlineStr">
        <is>
          <t>9-10</t>
        </is>
      </c>
      <c r="K6" s="66" t="n"/>
      <c r="L6" s="66">
        <f>J8*K6</f>
        <v/>
      </c>
      <c r="M6" s="71" t="n"/>
      <c r="N6" s="62" t="n"/>
      <c r="O6" s="68" t="n"/>
      <c r="P6" s="68" t="n"/>
      <c r="Q6" s="68" t="n"/>
      <c r="R6" s="68" t="n"/>
      <c r="S6" s="68" t="inlineStr">
        <is>
          <t>中</t>
        </is>
      </c>
      <c r="T6" s="69" t="inlineStr">
        <is>
          <t>4-7</t>
        </is>
      </c>
    </row>
    <row r="7">
      <c r="A7" s="64" t="n"/>
      <c r="B7" s="65" t="inlineStr">
        <is>
          <t>业务服务</t>
        </is>
      </c>
      <c r="C7" s="64" t="inlineStr">
        <is>
          <t>修改</t>
        </is>
      </c>
      <c r="D7" s="118" t="inlineStr">
        <is>
          <t>0-3</t>
        </is>
      </c>
      <c r="E7" s="66" t="n"/>
      <c r="F7" s="66">
        <f>D7*E7</f>
        <v/>
      </c>
      <c r="G7" s="118" t="inlineStr">
        <is>
          <t>4-5</t>
        </is>
      </c>
      <c r="H7" s="66" t="n"/>
      <c r="I7" s="66">
        <f>G7*H7</f>
        <v/>
      </c>
      <c r="J7" s="118" t="inlineStr">
        <is>
          <t>6-7</t>
        </is>
      </c>
      <c r="K7" s="66" t="n"/>
      <c r="L7" s="66">
        <f>J9*K7</f>
        <v/>
      </c>
      <c r="M7" s="72" t="n"/>
      <c r="N7" s="62" t="n"/>
      <c r="O7" s="68" t="n"/>
      <c r="P7" s="68" t="n"/>
      <c r="Q7" s="68" t="n"/>
      <c r="R7" s="68" t="n"/>
      <c r="S7" s="68" t="inlineStr">
        <is>
          <t>高</t>
        </is>
      </c>
      <c r="T7" s="68" t="inlineStr">
        <is>
          <t>&gt;=8</t>
        </is>
      </c>
    </row>
    <row r="8">
      <c r="A8" s="64" t="inlineStr">
        <is>
          <t>后台类</t>
        </is>
      </c>
      <c r="B8" s="66" t="inlineStr">
        <is>
          <t>后台进程</t>
        </is>
      </c>
      <c r="C8" s="66" t="inlineStr">
        <is>
          <t>新建</t>
        </is>
      </c>
      <c r="D8" s="118" t="inlineStr">
        <is>
          <t>0-5</t>
        </is>
      </c>
      <c r="E8" s="66" t="n"/>
      <c r="F8" s="66">
        <f>D8*E8</f>
        <v/>
      </c>
      <c r="G8" s="118" t="inlineStr">
        <is>
          <t>6-8</t>
        </is>
      </c>
      <c r="H8" s="66" t="n"/>
      <c r="I8" s="66">
        <f>G8*H8</f>
        <v/>
      </c>
      <c r="J8" s="118" t="inlineStr">
        <is>
          <t>9-10</t>
        </is>
      </c>
      <c r="K8" s="66" t="n"/>
      <c r="L8" s="66">
        <f>J10*K8</f>
        <v/>
      </c>
      <c r="M8" s="67" t="n"/>
      <c r="N8" s="62" t="n"/>
      <c r="O8" s="68" t="inlineStr">
        <is>
          <t>服务类</t>
        </is>
      </c>
      <c r="P8" s="68" t="inlineStr">
        <is>
          <t>业务服务</t>
        </is>
      </c>
      <c r="Q8" s="68" t="inlineStr">
        <is>
          <t>涉及核心业务数量</t>
        </is>
      </c>
      <c r="R8" s="68" t="n"/>
      <c r="S8" s="68" t="inlineStr">
        <is>
          <t>低</t>
        </is>
      </c>
      <c r="T8" s="68" t="inlineStr">
        <is>
          <t>&lt;=1</t>
        </is>
      </c>
    </row>
    <row r="9">
      <c r="A9" s="64" t="n"/>
      <c r="B9" s="66" t="inlineStr">
        <is>
          <t>后台进程</t>
        </is>
      </c>
      <c r="C9" s="66" t="inlineStr">
        <is>
          <t>修改</t>
        </is>
      </c>
      <c r="D9" s="118" t="inlineStr">
        <is>
          <t>0-3</t>
        </is>
      </c>
      <c r="E9" s="66" t="n"/>
      <c r="F9" s="66">
        <f>D9*E9</f>
        <v/>
      </c>
      <c r="G9" s="118" t="inlineStr">
        <is>
          <t>4-5</t>
        </is>
      </c>
      <c r="H9" s="66" t="n"/>
      <c r="I9" s="66">
        <f>G9*H9</f>
        <v/>
      </c>
      <c r="J9" s="118" t="inlineStr">
        <is>
          <t>6-7</t>
        </is>
      </c>
      <c r="K9" s="66" t="n"/>
      <c r="L9" s="66">
        <f>J11*K9</f>
        <v/>
      </c>
      <c r="M9" s="67" t="n"/>
      <c r="N9" s="62" t="n"/>
      <c r="O9" s="68" t="n"/>
      <c r="P9" s="68" t="n"/>
      <c r="Q9" s="68" t="n"/>
      <c r="R9" s="68" t="n"/>
      <c r="S9" s="68" t="inlineStr">
        <is>
          <t>中</t>
        </is>
      </c>
      <c r="T9" s="69" t="inlineStr">
        <is>
          <t>2-3</t>
        </is>
      </c>
    </row>
    <row r="10">
      <c r="A10" s="64" t="inlineStr">
        <is>
          <t>配置类</t>
        </is>
      </c>
      <c r="B10" s="66" t="inlineStr">
        <is>
          <t>配置业务</t>
        </is>
      </c>
      <c r="C10" s="66" t="inlineStr">
        <is>
          <t>新建</t>
        </is>
      </c>
      <c r="D10" s="118" t="inlineStr">
        <is>
          <t>0-4</t>
        </is>
      </c>
      <c r="E10" s="66" t="n"/>
      <c r="F10" s="66">
        <f>D10*E10</f>
        <v/>
      </c>
      <c r="G10" s="118" t="inlineStr">
        <is>
          <t>5-6</t>
        </is>
      </c>
      <c r="H10" s="66" t="n"/>
      <c r="I10" s="66">
        <f>G10*H10</f>
        <v/>
      </c>
      <c r="J10" s="118" t="inlineStr">
        <is>
          <t>7-8</t>
        </is>
      </c>
      <c r="K10" s="66" t="n"/>
      <c r="L10" s="66">
        <f>J12*K10</f>
        <v/>
      </c>
      <c r="M10" s="67" t="n"/>
      <c r="N10" s="62" t="n"/>
      <c r="O10" s="68" t="n"/>
      <c r="P10" s="68" t="n"/>
      <c r="Q10" s="68" t="n"/>
      <c r="R10" s="68" t="n"/>
      <c r="S10" s="68" t="inlineStr">
        <is>
          <t>高</t>
        </is>
      </c>
      <c r="T10" s="68" t="inlineStr">
        <is>
          <t>&gt;4</t>
        </is>
      </c>
    </row>
    <row r="11">
      <c r="A11" s="64" t="n"/>
      <c r="B11" s="66" t="inlineStr">
        <is>
          <t>配置业务</t>
        </is>
      </c>
      <c r="C11" s="66" t="inlineStr">
        <is>
          <t>修改</t>
        </is>
      </c>
      <c r="D11" s="118" t="inlineStr">
        <is>
          <t>0-2</t>
        </is>
      </c>
      <c r="E11" s="66" t="n"/>
      <c r="F11" s="66">
        <f>D11*E11</f>
        <v/>
      </c>
      <c r="G11" s="118" t="inlineStr">
        <is>
          <t>3-4</t>
        </is>
      </c>
      <c r="H11" s="66" t="n"/>
      <c r="I11" s="66">
        <f>G11*H11</f>
        <v/>
      </c>
      <c r="J11" s="118" t="inlineStr">
        <is>
          <t>5-6</t>
        </is>
      </c>
      <c r="K11" s="66" t="n"/>
      <c r="L11" s="66">
        <f>J13*K11</f>
        <v/>
      </c>
      <c r="M11" s="73" t="n"/>
      <c r="N11" s="62" t="n"/>
      <c r="O11" s="68" t="n"/>
      <c r="P11" s="68" t="n"/>
      <c r="Q11" s="68" t="inlineStr">
        <is>
          <t>使用的主要数据库表数量</t>
        </is>
      </c>
      <c r="R11" s="68" t="n"/>
      <c r="S11" s="68" t="inlineStr">
        <is>
          <t>低</t>
        </is>
      </c>
      <c r="T11" s="68" t="inlineStr">
        <is>
          <t>&lt;=2</t>
        </is>
      </c>
    </row>
    <row r="12">
      <c r="A12" s="66" t="inlineStr">
        <is>
          <t>接口类</t>
        </is>
      </c>
      <c r="B12" s="66" t="inlineStr">
        <is>
          <t>外部接口</t>
        </is>
      </c>
      <c r="C12" s="66" t="inlineStr">
        <is>
          <t>新建</t>
        </is>
      </c>
      <c r="D12" s="118" t="inlineStr">
        <is>
          <t>0-5</t>
        </is>
      </c>
      <c r="E12" s="66" t="n"/>
      <c r="F12" s="66">
        <f>D12*E12</f>
        <v/>
      </c>
      <c r="G12" s="118" t="inlineStr">
        <is>
          <t>6-8</t>
        </is>
      </c>
      <c r="H12" s="66" t="n"/>
      <c r="I12" s="66">
        <f>G12*H12</f>
        <v/>
      </c>
      <c r="J12" s="118" t="inlineStr">
        <is>
          <t>9-10</t>
        </is>
      </c>
      <c r="K12" s="66" t="n"/>
      <c r="L12" s="66">
        <f>#REF!*K12</f>
        <v/>
      </c>
      <c r="M12" s="67" t="n"/>
      <c r="N12" s="62" t="n"/>
      <c r="O12" s="68" t="n"/>
      <c r="P12" s="68" t="n"/>
      <c r="Q12" s="68" t="n"/>
      <c r="R12" s="68" t="n"/>
      <c r="S12" s="68" t="inlineStr">
        <is>
          <t>中</t>
        </is>
      </c>
      <c r="T12" s="69" t="inlineStr">
        <is>
          <t>3-4</t>
        </is>
      </c>
    </row>
    <row r="13">
      <c r="A13" s="66" t="n"/>
      <c r="B13" s="66" t="inlineStr">
        <is>
          <t>外部接口</t>
        </is>
      </c>
      <c r="C13" s="66" t="inlineStr">
        <is>
          <t>修改</t>
        </is>
      </c>
      <c r="D13" s="118" t="inlineStr">
        <is>
          <t>0-3</t>
        </is>
      </c>
      <c r="E13" s="66" t="n"/>
      <c r="F13" s="66">
        <f>D13*E13</f>
        <v/>
      </c>
      <c r="G13" s="118" t="inlineStr">
        <is>
          <t>4-5</t>
        </is>
      </c>
      <c r="H13" s="66" t="n"/>
      <c r="I13" s="66">
        <f>G13*H13</f>
        <v/>
      </c>
      <c r="J13" s="118" t="inlineStr">
        <is>
          <t>6-7</t>
        </is>
      </c>
      <c r="K13" s="66" t="n"/>
      <c r="L13" s="66">
        <f>#REF!*K13</f>
        <v/>
      </c>
      <c r="M13" s="67" t="n"/>
      <c r="N13" s="62" t="n"/>
      <c r="O13" s="68" t="n"/>
      <c r="P13" s="68" t="n"/>
      <c r="Q13" s="68" t="n"/>
      <c r="R13" s="68" t="n"/>
      <c r="S13" s="68" t="inlineStr">
        <is>
          <t>高</t>
        </is>
      </c>
      <c r="T13" s="68" t="inlineStr">
        <is>
          <t>&gt;4</t>
        </is>
      </c>
    </row>
    <row r="14">
      <c r="A14" s="74" t="inlineStr">
        <is>
          <t>合计</t>
        </is>
      </c>
      <c r="B14" s="74" t="n"/>
      <c r="C14" s="74" t="n"/>
      <c r="D14" s="74" t="n"/>
      <c r="E14" s="74" t="n"/>
      <c r="F14" s="74" t="n"/>
      <c r="G14" s="74" t="n"/>
      <c r="H14" s="74" t="n"/>
      <c r="I14" s="74" t="n"/>
      <c r="J14" s="74" t="n"/>
      <c r="K14" s="75" t="n"/>
      <c r="L14" s="76">
        <f>SUM(L2:L13)</f>
        <v/>
      </c>
      <c r="M14" s="77" t="n"/>
      <c r="N14" s="62" t="n"/>
      <c r="O14" s="68" t="n"/>
      <c r="P14" s="68" t="n"/>
      <c r="Q14" s="68" t="inlineStr">
        <is>
          <t>业务逻辑改造点数量</t>
        </is>
      </c>
      <c r="R14" s="68" t="n"/>
      <c r="S14" s="68" t="inlineStr">
        <is>
          <t>低</t>
        </is>
      </c>
      <c r="T14" s="68" t="inlineStr">
        <is>
          <t>&lt;=2</t>
        </is>
      </c>
    </row>
    <row r="15">
      <c r="A15" s="62" t="n"/>
      <c r="B15" s="62" t="n"/>
      <c r="C15" s="62" t="n"/>
      <c r="D15" s="62" t="n"/>
      <c r="E15" s="62" t="n"/>
      <c r="F15" s="62" t="n"/>
      <c r="G15" s="62" t="n"/>
      <c r="H15" s="62" t="n"/>
      <c r="I15" s="62" t="n"/>
      <c r="J15" s="62" t="n"/>
      <c r="K15" s="74" t="n"/>
      <c r="L15" s="74" t="n">
        <v>32</v>
      </c>
      <c r="M15" s="66" t="n"/>
      <c r="N15" s="62" t="n"/>
      <c r="O15" s="68" t="n"/>
      <c r="P15" s="68" t="n"/>
      <c r="Q15" s="68" t="n"/>
      <c r="R15" s="68" t="n"/>
      <c r="S15" s="68" t="inlineStr">
        <is>
          <t>中</t>
        </is>
      </c>
      <c r="T15" s="69" t="inlineStr">
        <is>
          <t>3-5</t>
        </is>
      </c>
    </row>
    <row r="16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8" t="n"/>
      <c r="P16" s="68" t="n"/>
      <c r="Q16" s="68" t="n"/>
      <c r="R16" s="68" t="n"/>
      <c r="S16" s="68" t="inlineStr">
        <is>
          <t>高</t>
        </is>
      </c>
      <c r="T16" s="68" t="inlineStr">
        <is>
          <t>&gt;=6</t>
        </is>
      </c>
    </row>
    <row r="17">
      <c r="A17" s="62" t="n"/>
      <c r="B17" s="62" t="n"/>
      <c r="C17" s="62" t="n"/>
      <c r="D17" s="62" t="n"/>
      <c r="E17" s="62" t="n"/>
      <c r="F17" s="62" t="n"/>
      <c r="G17" s="62" t="n"/>
      <c r="H17" s="68" t="inlineStr">
        <is>
          <t>逻辑关系</t>
        </is>
      </c>
      <c r="I17" s="62" t="n"/>
      <c r="J17" s="62" t="n"/>
      <c r="K17" s="62" t="n"/>
      <c r="L17" s="62" t="n"/>
      <c r="M17" s="62" t="n"/>
      <c r="N17" s="62" t="n"/>
      <c r="O17" s="68" t="inlineStr">
        <is>
          <t>微服务类</t>
        </is>
      </c>
      <c r="P17" s="68" t="inlineStr">
        <is>
          <t>业务服务</t>
        </is>
      </c>
      <c r="Q17" s="68" t="inlineStr">
        <is>
          <t>涉及核心业务数量</t>
        </is>
      </c>
      <c r="R17" s="68" t="n"/>
      <c r="S17" s="68" t="inlineStr">
        <is>
          <t>低</t>
        </is>
      </c>
      <c r="T17" s="68" t="inlineStr">
        <is>
          <t>&lt;=1</t>
        </is>
      </c>
    </row>
    <row r="18">
      <c r="A18" s="62" t="n"/>
      <c r="B18" s="62" t="n"/>
      <c r="C18" s="62" t="n"/>
      <c r="D18" s="62" t="n"/>
      <c r="E18" s="62" t="n"/>
      <c r="F18" s="62" t="n"/>
      <c r="G18" s="62" t="n"/>
      <c r="H18" s="68" t="n">
        <v>0</v>
      </c>
      <c r="I18" s="62" t="n"/>
      <c r="J18" s="62" t="n"/>
      <c r="K18" s="62" t="n"/>
      <c r="L18" s="62" t="n"/>
      <c r="M18" s="62" t="n"/>
      <c r="N18" s="62" t="n"/>
      <c r="O18" s="68" t="n"/>
      <c r="P18" s="68" t="n"/>
      <c r="Q18" s="68" t="n"/>
      <c r="R18" s="68" t="n"/>
      <c r="S18" s="68" t="inlineStr">
        <is>
          <t>中</t>
        </is>
      </c>
      <c r="T18" s="69" t="inlineStr">
        <is>
          <t>2-3</t>
        </is>
      </c>
    </row>
    <row r="19">
      <c r="A19" s="62" t="n"/>
      <c r="B19" s="62" t="n"/>
      <c r="C19" s="62" t="n"/>
      <c r="D19" s="62" t="n"/>
      <c r="E19" s="62" t="n"/>
      <c r="F19" s="62" t="n"/>
      <c r="G19" s="62" t="n"/>
      <c r="H19" s="68" t="n">
        <v>0</v>
      </c>
      <c r="I19" s="62" t="n"/>
      <c r="J19" s="62" t="n"/>
      <c r="K19" s="62" t="n"/>
      <c r="L19" s="62" t="n"/>
      <c r="M19" s="62" t="n"/>
      <c r="N19" s="62" t="n"/>
      <c r="O19" s="68" t="n"/>
      <c r="P19" s="68" t="n"/>
      <c r="Q19" s="68" t="n"/>
      <c r="R19" s="68" t="n"/>
      <c r="S19" s="68" t="inlineStr">
        <is>
          <t>高</t>
        </is>
      </c>
      <c r="T19" s="68" t="inlineStr">
        <is>
          <t>&gt;4</t>
        </is>
      </c>
    </row>
    <row r="20">
      <c r="A20" s="62" t="n"/>
      <c r="B20" s="62" t="n"/>
      <c r="C20" s="62" t="n"/>
      <c r="D20" s="62" t="n"/>
      <c r="E20" s="62" t="n"/>
      <c r="F20" s="62" t="n"/>
      <c r="G20" s="62" t="n"/>
      <c r="H20" s="68" t="n">
        <v>0</v>
      </c>
      <c r="I20" s="62" t="n"/>
      <c r="J20" s="62" t="n"/>
      <c r="K20" s="62" t="n"/>
      <c r="L20" s="62" t="n"/>
      <c r="M20" s="62" t="n"/>
      <c r="N20" s="62" t="n"/>
      <c r="O20" s="68" t="n"/>
      <c r="P20" s="68" t="n"/>
      <c r="Q20" s="68" t="inlineStr">
        <is>
          <t>使用的主要数据库表数量</t>
        </is>
      </c>
      <c r="R20" s="68" t="n"/>
      <c r="S20" s="68" t="inlineStr">
        <is>
          <t>低</t>
        </is>
      </c>
      <c r="T20" s="68" t="inlineStr">
        <is>
          <t>&lt;=2</t>
        </is>
      </c>
    </row>
    <row r="21">
      <c r="A21" s="62" t="n"/>
      <c r="B21" s="62" t="n"/>
      <c r="C21" s="62" t="n"/>
      <c r="D21" s="62" t="n"/>
      <c r="E21" s="62" t="n"/>
      <c r="F21" s="62" t="n"/>
      <c r="G21" s="62" t="n"/>
      <c r="H21" s="68" t="n">
        <v>0</v>
      </c>
      <c r="I21" s="62" t="n"/>
      <c r="J21" s="62" t="n"/>
      <c r="K21" s="62" t="n"/>
      <c r="L21" s="62" t="n"/>
      <c r="M21" s="62" t="n"/>
      <c r="N21" s="62" t="n"/>
      <c r="O21" s="68" t="n"/>
      <c r="P21" s="68" t="n"/>
      <c r="Q21" s="68" t="n"/>
      <c r="R21" s="68" t="n"/>
      <c r="S21" s="68" t="inlineStr">
        <is>
          <t>中</t>
        </is>
      </c>
      <c r="T21" s="69" t="inlineStr">
        <is>
          <t>3-4</t>
        </is>
      </c>
    </row>
    <row r="22">
      <c r="A22" s="62" t="n"/>
      <c r="B22" s="62" t="n"/>
      <c r="C22" s="62" t="n"/>
      <c r="D22" s="62" t="n"/>
      <c r="E22" s="62" t="n"/>
      <c r="F22" s="62" t="n"/>
      <c r="G22" s="62" t="n"/>
      <c r="H22" s="68" t="n">
        <v>0</v>
      </c>
      <c r="I22" s="62" t="n"/>
      <c r="J22" s="62" t="n"/>
      <c r="K22" s="62" t="n"/>
      <c r="L22" s="62" t="n"/>
      <c r="M22" s="62" t="n"/>
      <c r="N22" s="62" t="n"/>
      <c r="O22" s="68" t="n"/>
      <c r="P22" s="68" t="n"/>
      <c r="Q22" s="68" t="n"/>
      <c r="R22" s="68" t="n"/>
      <c r="S22" s="68" t="inlineStr">
        <is>
          <t>高</t>
        </is>
      </c>
      <c r="T22" s="68" t="inlineStr">
        <is>
          <t>&gt;4</t>
        </is>
      </c>
    </row>
    <row r="23">
      <c r="A23" s="62" t="n"/>
      <c r="B23" s="62" t="n"/>
      <c r="C23" s="62" t="n"/>
      <c r="D23" s="62" t="n"/>
      <c r="E23" s="62" t="n"/>
      <c r="F23" s="62" t="n"/>
      <c r="G23" s="62" t="n"/>
      <c r="H23" s="68" t="n">
        <v>0</v>
      </c>
      <c r="I23" s="62" t="n"/>
      <c r="J23" s="62" t="n"/>
      <c r="K23" s="62" t="n"/>
      <c r="L23" s="62" t="n"/>
      <c r="M23" s="62" t="n"/>
      <c r="N23" s="62" t="n"/>
      <c r="O23" s="68" t="n"/>
      <c r="P23" s="68" t="n"/>
      <c r="Q23" s="68" t="inlineStr">
        <is>
          <t>业务逻辑改造点数量</t>
        </is>
      </c>
      <c r="R23" s="68" t="n"/>
      <c r="S23" s="68" t="inlineStr">
        <is>
          <t>低</t>
        </is>
      </c>
      <c r="T23" s="68" t="inlineStr">
        <is>
          <t>&lt;=2</t>
        </is>
      </c>
    </row>
    <row r="24">
      <c r="A24" s="62" t="n"/>
      <c r="B24" s="62" t="n"/>
      <c r="C24" s="62" t="n"/>
      <c r="D24" s="62" t="n"/>
      <c r="E24" s="62" t="n"/>
      <c r="F24" s="62" t="n"/>
      <c r="G24" s="62" t="n"/>
      <c r="H24" s="68" t="n">
        <v>0</v>
      </c>
      <c r="I24" s="62" t="n"/>
      <c r="J24" s="62" t="n"/>
      <c r="K24" s="62" t="n"/>
      <c r="L24" s="62" t="n"/>
      <c r="M24" s="62" t="n"/>
      <c r="N24" s="62" t="n"/>
      <c r="O24" s="68" t="n"/>
      <c r="P24" s="68" t="n"/>
      <c r="Q24" s="68" t="n"/>
      <c r="R24" s="68" t="n"/>
      <c r="S24" s="68" t="inlineStr">
        <is>
          <t>中</t>
        </is>
      </c>
      <c r="T24" s="69" t="inlineStr">
        <is>
          <t>3-5</t>
        </is>
      </c>
    </row>
    <row r="25">
      <c r="A25" s="62" t="n"/>
      <c r="B25" s="62" t="n"/>
      <c r="C25" s="62" t="n"/>
      <c r="D25" s="62" t="n"/>
      <c r="E25" s="62" t="n"/>
      <c r="F25" s="62" t="n"/>
      <c r="G25" s="62" t="n"/>
      <c r="H25" s="68" t="n">
        <v>0</v>
      </c>
      <c r="I25" s="62" t="n"/>
      <c r="J25" s="62" t="n"/>
      <c r="K25" s="62" t="n"/>
      <c r="L25" s="62" t="n"/>
      <c r="M25" s="62" t="n"/>
      <c r="N25" s="62" t="n"/>
      <c r="O25" s="68" t="n"/>
      <c r="P25" s="68" t="n"/>
      <c r="Q25" s="68" t="n"/>
      <c r="R25" s="68" t="n"/>
      <c r="S25" s="68" t="inlineStr">
        <is>
          <t>高</t>
        </is>
      </c>
      <c r="T25" s="68" t="inlineStr">
        <is>
          <t>&gt;=6</t>
        </is>
      </c>
    </row>
    <row r="26">
      <c r="A26" s="62" t="n"/>
      <c r="B26" s="62" t="n"/>
      <c r="C26" s="62" t="n"/>
      <c r="D26" s="62" t="n"/>
      <c r="E26" s="62" t="n"/>
      <c r="F26" s="62" t="n"/>
      <c r="G26" s="62" t="n"/>
      <c r="H26" s="68" t="n">
        <v>0</v>
      </c>
      <c r="I26" s="62" t="n"/>
      <c r="J26" s="62" t="n"/>
      <c r="K26" s="62" t="n"/>
      <c r="L26" s="62" t="n"/>
      <c r="M26" s="62" t="n"/>
      <c r="N26" s="62" t="n"/>
      <c r="O26" s="68" t="inlineStr">
        <is>
          <t>后台类</t>
        </is>
      </c>
      <c r="P26" s="68" t="inlineStr">
        <is>
          <t>后台进程</t>
        </is>
      </c>
      <c r="Q26" s="68" t="inlineStr">
        <is>
          <t>业务逻辑改造点数量</t>
        </is>
      </c>
      <c r="R26" s="68" t="n"/>
      <c r="S26" s="68" t="inlineStr">
        <is>
          <t>低</t>
        </is>
      </c>
      <c r="T26" s="68" t="inlineStr">
        <is>
          <t>&lt;=2</t>
        </is>
      </c>
    </row>
    <row r="27">
      <c r="A27" s="62" t="n"/>
      <c r="B27" s="62" t="n"/>
      <c r="C27" s="62" t="n"/>
      <c r="D27" s="62" t="n"/>
      <c r="E27" s="62" t="n"/>
      <c r="F27" s="62" t="n"/>
      <c r="G27" s="62" t="n"/>
      <c r="H27" s="68" t="n">
        <v>0</v>
      </c>
      <c r="I27" s="62" t="n"/>
      <c r="J27" s="62" t="n"/>
      <c r="K27" s="62" t="n"/>
      <c r="L27" s="62" t="n"/>
      <c r="M27" s="62" t="n"/>
      <c r="N27" s="62" t="n"/>
      <c r="O27" s="68" t="n"/>
      <c r="P27" s="68" t="n"/>
      <c r="Q27" s="68" t="n"/>
      <c r="R27" s="68" t="n"/>
      <c r="S27" s="68" t="inlineStr">
        <is>
          <t>中</t>
        </is>
      </c>
      <c r="T27" s="69" t="inlineStr">
        <is>
          <t>3-5</t>
        </is>
      </c>
    </row>
    <row r="28">
      <c r="A28" s="62" t="n"/>
      <c r="B28" s="62" t="n"/>
      <c r="C28" s="62" t="n"/>
      <c r="D28" s="62" t="n"/>
      <c r="E28" s="62" t="n"/>
      <c r="F28" s="62" t="n"/>
      <c r="G28" s="62" t="n"/>
      <c r="H28" s="68" t="n">
        <v>0</v>
      </c>
      <c r="I28" s="62" t="n"/>
      <c r="J28" s="62" t="n"/>
      <c r="K28" s="62" t="n"/>
      <c r="L28" s="62" t="n"/>
      <c r="M28" s="62" t="n"/>
      <c r="N28" s="62" t="n"/>
      <c r="O28" s="68" t="n"/>
      <c r="P28" s="68" t="n"/>
      <c r="Q28" s="68" t="n"/>
      <c r="R28" s="68" t="n"/>
      <c r="S28" s="68" t="inlineStr">
        <is>
          <t>高</t>
        </is>
      </c>
      <c r="T28" s="68" t="inlineStr">
        <is>
          <t>&gt;=6</t>
        </is>
      </c>
    </row>
    <row r="29">
      <c r="A29" s="62" t="n"/>
      <c r="B29" s="62" t="n"/>
      <c r="C29" s="62" t="n"/>
      <c r="D29" s="62" t="n"/>
      <c r="E29" s="62" t="n"/>
      <c r="F29" s="62" t="n"/>
      <c r="G29" s="62" t="n"/>
      <c r="H29" s="68" t="n">
        <v>0</v>
      </c>
      <c r="I29" s="62" t="n"/>
      <c r="J29" s="62" t="n"/>
      <c r="K29" s="62" t="n"/>
      <c r="L29" s="62" t="n"/>
      <c r="M29" s="62" t="n"/>
      <c r="N29" s="62" t="n"/>
      <c r="O29" s="68" t="n"/>
      <c r="P29" s="68" t="n"/>
      <c r="Q29" s="68" t="inlineStr">
        <is>
          <t>涉及核心业务数量</t>
        </is>
      </c>
      <c r="R29" s="68" t="n"/>
      <c r="S29" s="68" t="inlineStr">
        <is>
          <t>低</t>
        </is>
      </c>
      <c r="T29" s="68" t="inlineStr">
        <is>
          <t>&lt;=1</t>
        </is>
      </c>
    </row>
    <row r="30">
      <c r="A30" s="62" t="n"/>
      <c r="B30" s="62" t="n"/>
      <c r="C30" s="62" t="n"/>
      <c r="D30" s="62" t="n"/>
      <c r="E30" s="62" t="n"/>
      <c r="F30" s="62" t="n"/>
      <c r="G30" s="62" t="n"/>
      <c r="H30" s="68" t="n">
        <v>0</v>
      </c>
      <c r="I30" s="62" t="n"/>
      <c r="J30" s="62" t="n"/>
      <c r="K30" s="62" t="n"/>
      <c r="L30" s="62" t="n"/>
      <c r="M30" s="62" t="n"/>
      <c r="N30" s="62" t="n"/>
      <c r="O30" s="68" t="n"/>
      <c r="P30" s="68" t="n"/>
      <c r="Q30" s="68" t="n"/>
      <c r="R30" s="68" t="n"/>
      <c r="S30" s="68" t="inlineStr">
        <is>
          <t>中</t>
        </is>
      </c>
      <c r="T30" s="69" t="inlineStr">
        <is>
          <t>2-3</t>
        </is>
      </c>
    </row>
    <row r="31">
      <c r="A31" s="62" t="n"/>
      <c r="B31" s="62" t="n"/>
      <c r="C31" s="62" t="n"/>
      <c r="D31" s="62" t="n"/>
      <c r="E31" s="62" t="n"/>
      <c r="F31" s="62" t="n"/>
      <c r="G31" s="62" t="n"/>
      <c r="H31" s="68" t="n">
        <v>0</v>
      </c>
      <c r="I31" s="62" t="n"/>
      <c r="J31" s="62" t="n"/>
      <c r="K31" s="62" t="n"/>
      <c r="L31" s="62" t="n"/>
      <c r="M31" s="62" t="n"/>
      <c r="N31" s="62" t="n"/>
      <c r="O31" s="68" t="n"/>
      <c r="P31" s="68" t="n"/>
      <c r="Q31" s="68" t="n"/>
      <c r="R31" s="68" t="n"/>
      <c r="S31" s="68" t="inlineStr">
        <is>
          <t>高</t>
        </is>
      </c>
      <c r="T31" s="68" t="inlineStr">
        <is>
          <t>&gt;4</t>
        </is>
      </c>
    </row>
    <row r="32">
      <c r="A32" s="62" t="n"/>
      <c r="B32" s="62" t="n"/>
      <c r="C32" s="62" t="n"/>
      <c r="D32" s="62" t="n"/>
      <c r="E32" s="62" t="n"/>
      <c r="F32" s="62" t="n"/>
      <c r="G32" s="62" t="n"/>
      <c r="H32" s="68" t="n">
        <v>0</v>
      </c>
      <c r="I32" s="62" t="n"/>
      <c r="J32" s="62" t="n"/>
      <c r="K32" s="62" t="n"/>
      <c r="L32" s="62" t="n"/>
      <c r="M32" s="62" t="n"/>
      <c r="N32" s="62" t="n"/>
      <c r="O32" s="68" t="inlineStr">
        <is>
          <t>配置类</t>
        </is>
      </c>
      <c r="P32" s="68" t="inlineStr">
        <is>
          <t>配置业务</t>
        </is>
      </c>
      <c r="Q32" s="68" t="inlineStr">
        <is>
          <t>配置脚本行数</t>
        </is>
      </c>
      <c r="R32" s="68" t="n"/>
      <c r="S32" s="68" t="inlineStr">
        <is>
          <t>低</t>
        </is>
      </c>
      <c r="T32" s="68" t="inlineStr">
        <is>
          <t>&lt;=200</t>
        </is>
      </c>
    </row>
    <row r="33">
      <c r="A33" s="62" t="n"/>
      <c r="B33" s="62" t="n"/>
      <c r="C33" s="62" t="n"/>
      <c r="D33" s="62" t="n"/>
      <c r="E33" s="62" t="n"/>
      <c r="F33" s="62" t="n"/>
      <c r="G33" s="62" t="n"/>
      <c r="H33" s="68" t="n">
        <v>0</v>
      </c>
      <c r="I33" s="62" t="n"/>
      <c r="J33" s="62" t="n"/>
      <c r="K33" s="62" t="n"/>
      <c r="L33" s="62" t="n"/>
      <c r="M33" s="62" t="n"/>
      <c r="N33" s="62" t="n"/>
      <c r="O33" s="68" t="n"/>
      <c r="P33" s="68" t="n"/>
      <c r="Q33" s="68" t="n"/>
      <c r="R33" s="68" t="n"/>
      <c r="S33" s="68" t="inlineStr">
        <is>
          <t>中</t>
        </is>
      </c>
      <c r="T33" s="69" t="inlineStr">
        <is>
          <t>201-399</t>
        </is>
      </c>
    </row>
    <row r="34">
      <c r="A34" s="62" t="n"/>
      <c r="B34" s="62" t="n"/>
      <c r="C34" s="62" t="n"/>
      <c r="D34" s="62" t="n"/>
      <c r="E34" s="62" t="n"/>
      <c r="F34" s="62" t="n"/>
      <c r="G34" s="62" t="n"/>
      <c r="H34" s="68" t="n">
        <v>0</v>
      </c>
      <c r="I34" s="62" t="n"/>
      <c r="J34" s="62" t="n"/>
      <c r="K34" s="62" t="n"/>
      <c r="L34" s="62" t="n"/>
      <c r="M34" s="62" t="n"/>
      <c r="N34" s="62" t="n"/>
      <c r="O34" s="68" t="n"/>
      <c r="P34" s="68" t="n"/>
      <c r="Q34" s="68" t="n"/>
      <c r="R34" s="68" t="n"/>
      <c r="S34" s="68" t="inlineStr">
        <is>
          <t>高</t>
        </is>
      </c>
      <c r="T34" s="68" t="inlineStr">
        <is>
          <t>&gt;=400</t>
        </is>
      </c>
    </row>
    <row r="35">
      <c r="A35" s="62" t="n"/>
      <c r="B35" s="62" t="n"/>
      <c r="C35" s="62" t="n"/>
      <c r="D35" s="62" t="n"/>
      <c r="E35" s="62" t="n"/>
      <c r="F35" s="62" t="n"/>
      <c r="G35" s="62" t="n"/>
      <c r="H35" s="68" t="n">
        <v>0</v>
      </c>
      <c r="I35" s="62" t="n"/>
      <c r="J35" s="62" t="n"/>
      <c r="K35" s="62" t="n"/>
      <c r="L35" s="62" t="n"/>
      <c r="M35" s="62" t="n"/>
      <c r="N35" s="62" t="n"/>
      <c r="O35" s="68" t="n"/>
      <c r="P35" s="68" t="n"/>
      <c r="Q35" s="68" t="inlineStr">
        <is>
          <t>影响核心业务数目</t>
        </is>
      </c>
      <c r="R35" s="68" t="n"/>
      <c r="S35" s="68" t="inlineStr">
        <is>
          <t>低</t>
        </is>
      </c>
      <c r="T35" s="68" t="inlineStr">
        <is>
          <t>&lt;=1</t>
        </is>
      </c>
    </row>
    <row r="36">
      <c r="A36" s="62" t="n"/>
      <c r="B36" s="62" t="n"/>
      <c r="C36" s="62" t="n"/>
      <c r="D36" s="62" t="n"/>
      <c r="E36" s="62" t="n"/>
      <c r="F36" s="62" t="n"/>
      <c r="G36" s="62" t="n"/>
      <c r="H36" s="68" t="n">
        <v>0</v>
      </c>
      <c r="I36" s="62" t="n"/>
      <c r="J36" s="62" t="n"/>
      <c r="K36" s="62" t="n"/>
      <c r="L36" s="62" t="n"/>
      <c r="M36" s="62" t="n"/>
      <c r="N36" s="62" t="n"/>
      <c r="O36" s="68" t="n"/>
      <c r="P36" s="68" t="n"/>
      <c r="Q36" s="68" t="n"/>
      <c r="R36" s="68" t="n"/>
      <c r="S36" s="68" t="inlineStr">
        <is>
          <t>中</t>
        </is>
      </c>
      <c r="T36" s="69" t="inlineStr">
        <is>
          <t>2-3</t>
        </is>
      </c>
    </row>
    <row r="37">
      <c r="A37" s="62" t="n"/>
      <c r="B37" s="62" t="n"/>
      <c r="C37" s="62" t="n"/>
      <c r="D37" s="62" t="n"/>
      <c r="E37" s="62" t="n"/>
      <c r="F37" s="62" t="n"/>
      <c r="G37" s="62" t="n"/>
      <c r="H37" s="68" t="n">
        <v>0</v>
      </c>
      <c r="I37" s="62" t="n"/>
      <c r="J37" s="62" t="n"/>
      <c r="K37" s="62" t="n"/>
      <c r="L37" s="62" t="n"/>
      <c r="M37" s="62" t="n"/>
      <c r="N37" s="62" t="n"/>
      <c r="O37" s="68" t="n"/>
      <c r="P37" s="68" t="n"/>
      <c r="Q37" s="68" t="n"/>
      <c r="R37" s="68" t="n"/>
      <c r="S37" s="68" t="inlineStr">
        <is>
          <t>高</t>
        </is>
      </c>
      <c r="T37" s="68" t="inlineStr">
        <is>
          <t>&gt;4</t>
        </is>
      </c>
    </row>
    <row r="38">
      <c r="A38" s="62" t="n"/>
      <c r="B38" s="62" t="n"/>
      <c r="C38" s="62" t="n"/>
      <c r="D38" s="62" t="n"/>
      <c r="E38" s="62" t="n"/>
      <c r="F38" s="62" t="n"/>
      <c r="G38" s="62" t="n"/>
      <c r="H38" s="68" t="n">
        <v>0</v>
      </c>
      <c r="I38" s="62" t="n"/>
      <c r="J38" s="62" t="n"/>
      <c r="K38" s="62" t="n"/>
      <c r="L38" s="62" t="n"/>
      <c r="M38" s="62" t="n"/>
      <c r="N38" s="62" t="n"/>
      <c r="O38" s="68" t="inlineStr">
        <is>
          <t>接口类</t>
        </is>
      </c>
      <c r="P38" s="68" t="inlineStr">
        <is>
          <t>外部接口</t>
        </is>
      </c>
      <c r="Q38" s="68" t="inlineStr">
        <is>
          <t>接口类型</t>
        </is>
      </c>
      <c r="R38" s="68" t="inlineStr">
        <is>
          <t>表、HTTP、FTP</t>
        </is>
      </c>
      <c r="S38" s="68" t="inlineStr">
        <is>
          <t>低</t>
        </is>
      </c>
      <c r="T38" s="68" t="n"/>
    </row>
    <row r="39">
      <c r="A39" s="62" t="n"/>
      <c r="B39" s="62" t="n"/>
      <c r="C39" s="62" t="n"/>
      <c r="D39" s="62" t="n"/>
      <c r="E39" s="62" t="n"/>
      <c r="F39" s="62" t="n"/>
      <c r="G39" s="62" t="n"/>
      <c r="H39" s="68" t="n">
        <v>0</v>
      </c>
      <c r="I39" s="62" t="n"/>
      <c r="J39" s="62" t="n"/>
      <c r="K39" s="62" t="n"/>
      <c r="L39" s="62" t="n"/>
      <c r="M39" s="62" t="n"/>
      <c r="N39" s="62" t="n"/>
      <c r="O39" s="68" t="n"/>
      <c r="P39" s="68" t="n"/>
      <c r="Q39" s="68" t="n"/>
      <c r="R39" s="68" t="inlineStr">
        <is>
          <t>Socket接口</t>
        </is>
      </c>
      <c r="S39" s="68" t="inlineStr">
        <is>
          <t>中</t>
        </is>
      </c>
      <c r="T39" s="68" t="n"/>
    </row>
    <row r="40">
      <c r="A40" s="62" t="n"/>
      <c r="B40" s="62" t="n"/>
      <c r="C40" s="62" t="n"/>
      <c r="D40" s="62" t="n"/>
      <c r="E40" s="62" t="n"/>
      <c r="F40" s="62" t="n"/>
      <c r="G40" s="62" t="n"/>
      <c r="H40" s="68" t="n">
        <v>0</v>
      </c>
      <c r="I40" s="62" t="n"/>
      <c r="J40" s="62" t="n"/>
      <c r="K40" s="62" t="n"/>
      <c r="L40" s="62" t="n"/>
      <c r="M40" s="62" t="n"/>
      <c r="N40" s="62" t="n"/>
      <c r="O40" s="68" t="n"/>
      <c r="P40" s="68" t="n"/>
      <c r="Q40" s="68" t="n"/>
      <c r="R40" s="68" t="inlineStr">
        <is>
          <t>其他接口</t>
        </is>
      </c>
      <c r="S40" s="68" t="inlineStr">
        <is>
          <t>高</t>
        </is>
      </c>
      <c r="T40" s="68" t="n"/>
    </row>
    <row r="41">
      <c r="A41" s="62" t="n"/>
      <c r="B41" s="62" t="n"/>
      <c r="C41" s="62" t="n"/>
      <c r="D41" s="62" t="n"/>
      <c r="E41" s="62" t="n"/>
      <c r="F41" s="62" t="n"/>
      <c r="G41" s="62" t="n"/>
      <c r="H41" s="68" t="n">
        <v>0</v>
      </c>
      <c r="I41" s="62" t="n"/>
      <c r="J41" s="62" t="n"/>
      <c r="K41" s="62" t="n"/>
      <c r="L41" s="62" t="n"/>
      <c r="M41" s="62" t="n"/>
      <c r="N41" s="62" t="n"/>
      <c r="O41" s="68" t="n"/>
      <c r="P41" s="68" t="n"/>
      <c r="Q41" s="68" t="inlineStr">
        <is>
          <t>接口元素数量</t>
        </is>
      </c>
      <c r="R41" s="68" t="n"/>
      <c r="S41" s="68" t="inlineStr">
        <is>
          <t>低</t>
        </is>
      </c>
      <c r="T41" s="68" t="inlineStr">
        <is>
          <t>&lt;=20</t>
        </is>
      </c>
    </row>
    <row r="42">
      <c r="A42" s="62" t="n"/>
      <c r="B42" s="62" t="n"/>
      <c r="C42" s="62" t="n"/>
      <c r="D42" s="62" t="n"/>
      <c r="E42" s="62" t="n"/>
      <c r="F42" s="62" t="n"/>
      <c r="G42" s="62" t="n"/>
      <c r="H42" s="68" t="n">
        <v>0</v>
      </c>
      <c r="I42" s="62" t="n"/>
      <c r="J42" s="62" t="n"/>
      <c r="K42" s="62" t="n"/>
      <c r="L42" s="62" t="n"/>
      <c r="M42" s="62" t="n"/>
      <c r="N42" s="62" t="n"/>
      <c r="O42" s="68" t="n"/>
      <c r="P42" s="68" t="n"/>
      <c r="Q42" s="68" t="n"/>
      <c r="R42" s="68" t="n"/>
      <c r="S42" s="68" t="inlineStr">
        <is>
          <t>中</t>
        </is>
      </c>
      <c r="T42" s="69" t="inlineStr">
        <is>
          <t>21-35</t>
        </is>
      </c>
    </row>
    <row r="43">
      <c r="A43" s="62" t="n"/>
      <c r="B43" s="62" t="n"/>
      <c r="C43" s="62" t="n"/>
      <c r="D43" s="62" t="n"/>
      <c r="E43" s="62" t="n"/>
      <c r="F43" s="62" t="n"/>
      <c r="G43" s="62" t="n"/>
      <c r="H43" s="68" t="n">
        <v>0</v>
      </c>
      <c r="I43" s="62" t="n"/>
      <c r="J43" s="62" t="n"/>
      <c r="K43" s="62" t="n"/>
      <c r="L43" s="62" t="n"/>
      <c r="M43" s="62" t="n"/>
      <c r="N43" s="62" t="n"/>
      <c r="O43" s="68" t="n"/>
      <c r="P43" s="68" t="n"/>
      <c r="Q43" s="68" t="n"/>
      <c r="R43" s="68" t="n"/>
      <c r="S43" s="68" t="inlineStr">
        <is>
          <t>高</t>
        </is>
      </c>
      <c r="T43" s="68" t="inlineStr">
        <is>
          <t>&gt;=36</t>
        </is>
      </c>
    </row>
    <row r="44">
      <c r="A44" s="62" t="n"/>
      <c r="B44" s="62" t="n"/>
      <c r="C44" s="62" t="n"/>
      <c r="D44" s="62" t="n"/>
      <c r="E44" s="62" t="n"/>
      <c r="F44" s="62" t="n"/>
      <c r="G44" s="62" t="n"/>
      <c r="H44" s="68" t="n">
        <v>0</v>
      </c>
      <c r="I44" s="62" t="n"/>
      <c r="J44" s="62" t="n"/>
      <c r="K44" s="62" t="n"/>
      <c r="L44" s="62" t="n"/>
      <c r="M44" s="62" t="n"/>
      <c r="N44" s="62" t="n"/>
      <c r="O44" s="68" t="n"/>
      <c r="P44" s="68" t="n"/>
      <c r="Q44" s="68" t="inlineStr">
        <is>
          <t>外部联调接口数量</t>
        </is>
      </c>
      <c r="R44" s="68" t="n"/>
      <c r="S44" s="68" t="inlineStr">
        <is>
          <t>低</t>
        </is>
      </c>
      <c r="T44" s="68" t="inlineStr">
        <is>
          <t>&lt;=10</t>
        </is>
      </c>
    </row>
    <row r="45">
      <c r="A45" s="62" t="n"/>
      <c r="B45" s="62" t="n"/>
      <c r="C45" s="62" t="n"/>
      <c r="D45" s="62" t="n"/>
      <c r="E45" s="62" t="n"/>
      <c r="F45" s="62" t="n"/>
      <c r="G45" s="62" t="n"/>
      <c r="H45" s="68" t="n">
        <v>0</v>
      </c>
      <c r="I45" s="62" t="n"/>
      <c r="J45" s="62" t="n"/>
      <c r="K45" s="62" t="n"/>
      <c r="L45" s="62" t="n"/>
      <c r="M45" s="62" t="n"/>
      <c r="N45" s="62" t="n"/>
      <c r="O45" s="68" t="n"/>
      <c r="P45" s="68" t="n"/>
      <c r="Q45" s="68" t="n"/>
      <c r="R45" s="68" t="n"/>
      <c r="S45" s="68" t="inlineStr">
        <is>
          <t>中</t>
        </is>
      </c>
      <c r="T45" s="69" t="inlineStr">
        <is>
          <t>11-20</t>
        </is>
      </c>
    </row>
    <row r="46">
      <c r="A46" s="62" t="n"/>
      <c r="B46" s="62" t="n"/>
      <c r="C46" s="62" t="n"/>
      <c r="D46" s="62" t="n"/>
      <c r="E46" s="62" t="n"/>
      <c r="F46" s="62" t="n"/>
      <c r="G46" s="62" t="n"/>
      <c r="H46" s="68" t="n">
        <v>0</v>
      </c>
      <c r="I46" s="62" t="n"/>
      <c r="J46" s="62" t="n"/>
      <c r="K46" s="62" t="n"/>
      <c r="L46" s="62" t="n"/>
      <c r="M46" s="62" t="n"/>
      <c r="N46" s="62" t="n"/>
      <c r="O46" s="68" t="n"/>
      <c r="P46" s="68" t="n"/>
      <c r="Q46" s="68" t="n"/>
      <c r="R46" s="68" t="n"/>
      <c r="S46" s="68" t="inlineStr">
        <is>
          <t>高</t>
        </is>
      </c>
      <c r="T46" s="68" t="inlineStr">
        <is>
          <t>&gt;=20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G1" sqref="G$1:G$1048576"/>
    </sheetView>
  </sheetViews>
  <sheetFormatPr baseColWidth="8" defaultColWidth="9" defaultRowHeight="14.1"/>
  <cols>
    <col width="40.6216216216216" customWidth="1" style="55" min="1" max="1"/>
  </cols>
  <sheetData>
    <row r="1">
      <c r="A1" s="51" t="inlineStr">
        <is>
          <t>模块清单</t>
        </is>
      </c>
    </row>
    <row r="2" ht="14.55" customHeight="1" s="52">
      <c r="A2" s="53" t="inlineStr">
        <is>
          <t>24小时自助营业厅</t>
        </is>
      </c>
      <c r="B2" s="54" t="n"/>
    </row>
    <row r="3" ht="14.55" customHeight="1" s="52">
      <c r="A3" s="53" t="inlineStr">
        <is>
          <t>IT运维门户[云智工坊]</t>
        </is>
      </c>
      <c r="B3" s="54" t="n"/>
    </row>
    <row r="4" ht="14.55" customHeight="1" s="52">
      <c r="A4" s="53" t="inlineStr">
        <is>
          <t>支付网关_收银台</t>
        </is>
      </c>
      <c r="B4" s="54" t="n"/>
    </row>
    <row r="5" ht="14.55" customHeight="1" s="52">
      <c r="A5" s="53" t="inlineStr">
        <is>
          <t>电子工作流-BOMC</t>
        </is>
      </c>
      <c r="B5" s="54" t="n"/>
    </row>
    <row r="6" ht="14.55" customHeight="1" s="52">
      <c r="A6" s="53" t="inlineStr">
        <is>
          <t>电子工作流-客户投诉</t>
        </is>
      </c>
      <c r="B6" s="54" t="n"/>
    </row>
    <row r="7" ht="14.55" customHeight="1" s="52">
      <c r="A7" s="53" t="inlineStr">
        <is>
          <t>短信营业厅</t>
        </is>
      </c>
      <c r="B7" s="54" t="n"/>
    </row>
    <row r="8" ht="14.55" customHeight="1" s="52">
      <c r="A8" s="53" t="inlineStr">
        <is>
          <t>集团代理商管理平台</t>
        </is>
      </c>
      <c r="B8" s="54" t="n"/>
    </row>
    <row r="9" ht="14.55" customHeight="1" s="52">
      <c r="A9" s="53" t="inlineStr">
        <is>
          <t>技术中台_IT服务管理[一线直通车]</t>
        </is>
      </c>
      <c r="B9" s="54" t="n"/>
    </row>
    <row r="10" ht="14.55" customHeight="1" s="52">
      <c r="A10" s="53" t="inlineStr">
        <is>
          <t>视频播控系统</t>
        </is>
      </c>
      <c r="B10" s="54" t="n"/>
    </row>
    <row r="11" ht="14.55" customHeight="1" s="52">
      <c r="A11" s="53" t="inlineStr">
        <is>
          <t>网格通</t>
        </is>
      </c>
      <c r="B11" s="54" t="n"/>
    </row>
    <row r="12" ht="14.55" customHeight="1" s="52">
      <c r="A12" s="53" t="inlineStr">
        <is>
          <t>新业务运营平台[IBOP]</t>
        </is>
      </c>
      <c r="B12" s="54" t="n"/>
    </row>
    <row r="13" ht="14.55" customHeight="1" s="52">
      <c r="A13" s="53" t="inlineStr">
        <is>
          <t>业务运营门户[BOP]</t>
        </is>
      </c>
      <c r="B13" s="54" t="n"/>
    </row>
    <row r="14" ht="14.55" customHeight="1" s="52">
      <c r="A14" s="53" t="inlineStr">
        <is>
          <t>业务运营平台[BIE]</t>
        </is>
      </c>
      <c r="B14" s="54" t="n"/>
    </row>
    <row r="15" ht="14.55" customHeight="1" s="52">
      <c r="A15" s="53" t="inlineStr">
        <is>
          <t>支撑辅助系统</t>
        </is>
      </c>
      <c r="B15" s="54" t="n"/>
    </row>
    <row r="16" ht="14.55" customHeight="1" s="52">
      <c r="A16" s="53" t="inlineStr">
        <is>
          <t>BSSP</t>
        </is>
      </c>
      <c r="B16" s="54" t="n"/>
    </row>
    <row r="17" ht="14.55" customHeight="1" s="52">
      <c r="A17" s="53" t="inlineStr">
        <is>
          <t>财务收入中心</t>
        </is>
      </c>
      <c r="B17" s="54" t="n"/>
    </row>
    <row r="18" ht="14.55" customHeight="1" s="52">
      <c r="A18" s="53" t="inlineStr">
        <is>
          <t>短消息交互中心[UIDP]</t>
        </is>
      </c>
      <c r="B18" s="54" t="n"/>
    </row>
    <row r="19" ht="14.55" customHeight="1" s="52">
      <c r="A19" s="53" t="inlineStr">
        <is>
          <t>发票打印</t>
        </is>
      </c>
      <c r="B19" s="54" t="n"/>
    </row>
    <row r="20" ht="14.55" customHeight="1" s="52">
      <c r="A20" s="53" t="inlineStr">
        <is>
          <t>稽核中心</t>
        </is>
      </c>
      <c r="B20" s="54" t="n"/>
    </row>
    <row r="21" ht="14.55" customHeight="1" s="52">
      <c r="A21" s="53" t="inlineStr">
        <is>
          <t>开通中心</t>
        </is>
      </c>
      <c r="B21" s="54" t="n"/>
    </row>
    <row r="22" ht="14.55" customHeight="1" s="52">
      <c r="A22" s="53" t="inlineStr">
        <is>
          <t>客户中心</t>
        </is>
      </c>
      <c r="B22" s="54" t="n"/>
    </row>
    <row r="23" ht="14.55" customHeight="1" s="52">
      <c r="A23" s="53" t="inlineStr">
        <is>
          <t>零售库存中心</t>
        </is>
      </c>
      <c r="B23" s="54" t="n"/>
    </row>
    <row r="24" ht="14.55" customHeight="1" s="52">
      <c r="A24" s="53" t="inlineStr">
        <is>
          <t>人脸识别系统</t>
        </is>
      </c>
      <c r="B24" s="54" t="n"/>
    </row>
    <row r="25">
      <c r="A25" s="53" t="inlineStr">
        <is>
          <t>销售中心</t>
        </is>
      </c>
    </row>
    <row r="26">
      <c r="A26" s="53" t="inlineStr">
        <is>
          <t>营收平衡中心</t>
        </is>
      </c>
    </row>
    <row r="27">
      <c r="A27" s="53" t="inlineStr">
        <is>
          <t>营销中心</t>
        </is>
      </c>
    </row>
    <row r="28">
      <c r="A28" s="53" t="inlineStr">
        <is>
          <t>影像资料中心</t>
        </is>
      </c>
    </row>
    <row r="29">
      <c r="A29" s="53" t="inlineStr">
        <is>
          <t>预制查询</t>
        </is>
      </c>
    </row>
    <row r="30">
      <c r="A30" s="53" t="inlineStr">
        <is>
          <t>支付网关_综合支付</t>
        </is>
      </c>
    </row>
    <row r="31">
      <c r="A31" s="53" t="inlineStr">
        <is>
          <t>技术中台_区块链数据校准中心</t>
        </is>
      </c>
    </row>
    <row r="32">
      <c r="A32" s="53" t="inlineStr">
        <is>
          <t>数字身份认证平台[DIDP]</t>
        </is>
      </c>
    </row>
    <row r="33">
      <c r="A33" s="53" t="inlineStr">
        <is>
          <t>统一P域名转发</t>
        </is>
      </c>
    </row>
    <row r="34">
      <c r="A34" s="53" t="inlineStr">
        <is>
          <t>统一安全管理平台-认证鉴权中心[UAMS]</t>
        </is>
      </c>
    </row>
    <row r="35">
      <c r="A35" s="53" t="inlineStr">
        <is>
          <t>GWRS</t>
        </is>
      </c>
    </row>
    <row r="36">
      <c r="A36" s="53" t="inlineStr">
        <is>
          <t>SFDL</t>
        </is>
      </c>
    </row>
    <row r="37">
      <c r="A37" s="53" t="inlineStr">
        <is>
          <t>互联网中心</t>
        </is>
      </c>
    </row>
    <row r="38">
      <c r="A38" s="53" t="inlineStr">
        <is>
          <t>集中鉴权中心</t>
        </is>
      </c>
    </row>
    <row r="39">
      <c r="A39" s="53" t="inlineStr">
        <is>
          <t>内容运营管理平台</t>
        </is>
      </c>
    </row>
    <row r="40">
      <c r="A40" s="53" t="inlineStr">
        <is>
          <t>产商品中心</t>
        </is>
      </c>
    </row>
    <row r="41">
      <c r="A41" s="53" t="inlineStr">
        <is>
          <t>话单采集系统</t>
        </is>
      </c>
    </row>
    <row r="42">
      <c r="A42" s="53" t="inlineStr">
        <is>
          <t>计费系统</t>
        </is>
      </c>
    </row>
    <row r="43">
      <c r="A43" s="53" t="inlineStr">
        <is>
          <t>技术中台_统一流程引擎</t>
        </is>
      </c>
    </row>
    <row r="44">
      <c r="A44" s="53" t="inlineStr">
        <is>
          <t>结算系统</t>
        </is>
      </c>
    </row>
    <row r="45">
      <c r="A45" s="53" t="inlineStr">
        <is>
          <t>局数据管理系统</t>
        </is>
      </c>
    </row>
    <row r="46">
      <c r="A46" s="53" t="inlineStr">
        <is>
          <t>漫游系统</t>
        </is>
      </c>
    </row>
    <row r="47">
      <c r="A47" s="53" t="inlineStr">
        <is>
          <t>梦网合作伙伴管理[SIMS]</t>
        </is>
      </c>
    </row>
    <row r="48">
      <c r="A48" s="53" t="inlineStr">
        <is>
          <t>营业后台</t>
        </is>
      </c>
    </row>
    <row r="49">
      <c r="A49" s="53" t="inlineStr">
        <is>
          <t>账务系统</t>
        </is>
      </c>
    </row>
    <row r="50">
      <c r="A50" s="53" t="inlineStr">
        <is>
          <t>综合支付平台</t>
        </is>
      </c>
    </row>
    <row r="51">
      <c r="A51" s="53" t="inlineStr">
        <is>
          <t>技术中台_ETL</t>
        </is>
      </c>
    </row>
    <row r="52">
      <c r="A52" s="53" t="inlineStr">
        <is>
          <t>技术中台_门户</t>
        </is>
      </c>
    </row>
    <row r="53">
      <c r="A53" s="53" t="inlineStr">
        <is>
          <t>能力网关</t>
        </is>
      </c>
    </row>
    <row r="54">
      <c r="A54" s="53" t="inlineStr">
        <is>
          <t>统一安全管理平台-4A(B域)</t>
        </is>
      </c>
    </row>
    <row r="55">
      <c r="A55" s="53" t="inlineStr">
        <is>
          <t>统一安全管理平台-SMP(B域)</t>
        </is>
      </c>
    </row>
    <row r="56">
      <c r="A56" s="53" t="inlineStr">
        <is>
          <t>统一安全管理平台-安全威胁分析与预警平台</t>
        </is>
      </c>
    </row>
    <row r="57">
      <c r="A57" s="53" t="inlineStr">
        <is>
          <t>统一安全管理平台-密码管理</t>
        </is>
      </c>
    </row>
    <row r="58">
      <c r="A58" s="53" t="inlineStr">
        <is>
          <t>云桌面(营业厅)</t>
        </is>
      </c>
    </row>
    <row r="59">
      <c r="A59" s="53" t="inlineStr">
        <is>
          <t>云桌面(运维)</t>
        </is>
      </c>
    </row>
    <row r="60">
      <c r="A60" s="53" t="inlineStr">
        <is>
          <t>运营监控中心(B域)</t>
        </is>
      </c>
    </row>
    <row r="61">
      <c r="A61" s="55" t="n"/>
    </row>
    <row r="62">
      <c r="A62" s="55" t="n"/>
    </row>
    <row r="64">
      <c r="A64" s="56" t="inlineStr">
        <is>
          <t>业务规则类型清单</t>
        </is>
      </c>
    </row>
    <row r="65">
      <c r="A65" s="57" t="inlineStr">
        <is>
          <t>受理准入性规则</t>
        </is>
      </c>
    </row>
    <row r="66">
      <c r="A66" s="57" t="inlineStr">
        <is>
          <t>产商品/营销案规则</t>
        </is>
      </c>
    </row>
    <row r="67">
      <c r="A67" s="57" t="inlineStr">
        <is>
          <t>业务处理规则</t>
        </is>
      </c>
    </row>
    <row r="68">
      <c r="A68" s="57" t="inlineStr">
        <is>
          <t>计费/账务规则</t>
        </is>
      </c>
    </row>
    <row r="69">
      <c r="A69" s="57" t="inlineStr">
        <is>
          <t>提醒规则</t>
        </is>
      </c>
    </row>
    <row r="70">
      <c r="A70" s="57" t="n"/>
    </row>
    <row r="71">
      <c r="A71" s="5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1"/>
  <sheetViews>
    <sheetView topLeftCell="A160" zoomScale="130" zoomScaleNormal="130" workbookViewId="0">
      <selection activeCell="D244" sqref="D244:D248"/>
    </sheetView>
  </sheetViews>
  <sheetFormatPr baseColWidth="8" defaultColWidth="9" defaultRowHeight="14.1"/>
  <cols>
    <col width="16" customWidth="1" style="52" min="1" max="1"/>
    <col width="14.5045045045045" customWidth="1" style="52" min="2" max="2"/>
    <col width="22.6216216216216" customWidth="1" style="52" min="3" max="3"/>
    <col width="18.9099099099099" customWidth="1" style="52" min="4" max="4"/>
  </cols>
  <sheetData>
    <row r="1">
      <c r="A1" s="3" t="inlineStr">
        <is>
          <t>一级域</t>
        </is>
      </c>
      <c r="B1" s="4" t="inlineStr">
        <is>
          <t>二级域</t>
        </is>
      </c>
      <c r="C1" s="4" t="inlineStr">
        <is>
          <t>三级域</t>
        </is>
      </c>
      <c r="D1" s="4" t="inlineStr">
        <is>
          <t>四级域</t>
        </is>
      </c>
    </row>
    <row r="2">
      <c r="A2" s="119" t="inlineStr">
        <is>
          <t>前台(BDM)</t>
        </is>
      </c>
      <c r="B2" s="120" t="inlineStr">
        <is>
          <t>IBOP</t>
        </is>
      </c>
      <c r="C2" s="7" t="inlineStr">
        <is>
          <t>核心类</t>
        </is>
      </c>
    </row>
    <row r="3">
      <c r="A3" s="121" t="n"/>
      <c r="B3" s="121" t="n"/>
      <c r="C3" s="10" t="inlineStr">
        <is>
          <t>实名登记</t>
        </is>
      </c>
    </row>
    <row r="4">
      <c r="A4" s="121" t="n"/>
      <c r="B4" s="121" t="n"/>
      <c r="C4" s="10" t="inlineStr">
        <is>
          <t>家庭业务</t>
        </is>
      </c>
    </row>
    <row r="5">
      <c r="A5" s="121" t="n"/>
      <c r="B5" s="121" t="n"/>
      <c r="C5" s="10" t="inlineStr">
        <is>
          <t>服务变更</t>
        </is>
      </c>
    </row>
    <row r="6">
      <c r="A6" s="121" t="n"/>
      <c r="B6" s="121" t="n"/>
      <c r="C6" s="7" t="inlineStr">
        <is>
          <t>账务服务</t>
        </is>
      </c>
    </row>
    <row r="7">
      <c r="A7" s="121" t="n"/>
      <c r="B7" s="121" t="n"/>
      <c r="C7" s="10" t="inlineStr">
        <is>
          <t>终端销售</t>
        </is>
      </c>
    </row>
    <row r="8">
      <c r="A8" s="121" t="n"/>
      <c r="B8" s="121" t="n"/>
      <c r="C8" s="10" t="inlineStr">
        <is>
          <t>增值业务</t>
        </is>
      </c>
    </row>
    <row r="9">
      <c r="A9" s="121" t="n"/>
      <c r="B9" s="121" t="n"/>
      <c r="C9" s="10" t="inlineStr">
        <is>
          <t>资源管理</t>
        </is>
      </c>
    </row>
    <row r="10">
      <c r="A10" s="121" t="n"/>
      <c r="B10" s="121" t="n"/>
      <c r="C10" s="7" t="inlineStr">
        <is>
          <t>客户服务</t>
        </is>
      </c>
    </row>
    <row r="11">
      <c r="A11" s="121" t="n"/>
      <c r="B11" s="121" t="n"/>
      <c r="C11" s="10" t="inlineStr">
        <is>
          <t>工作管理</t>
        </is>
      </c>
    </row>
    <row r="12">
      <c r="A12" s="121" t="n"/>
      <c r="B12" s="121" t="n"/>
      <c r="C12" s="10" t="inlineStr">
        <is>
          <t>订单管理</t>
        </is>
      </c>
    </row>
    <row r="13">
      <c r="A13" s="121" t="n"/>
      <c r="B13" s="121" t="n"/>
      <c r="C13" s="10" t="inlineStr">
        <is>
          <t>政企业务</t>
        </is>
      </c>
    </row>
    <row r="14">
      <c r="A14" s="121" t="n"/>
      <c r="B14" s="121" t="n"/>
      <c r="C14" s="10" t="inlineStr">
        <is>
          <t>物联网专网专号</t>
        </is>
      </c>
    </row>
    <row r="15">
      <c r="A15" s="121" t="n"/>
      <c r="B15" s="121" t="n"/>
      <c r="C15" s="10" t="inlineStr">
        <is>
          <t>地市功能</t>
        </is>
      </c>
    </row>
    <row r="16">
      <c r="A16" s="121" t="n"/>
      <c r="B16" s="122" t="n"/>
      <c r="C16" s="10" t="inlineStr">
        <is>
          <t>门户功能</t>
        </is>
      </c>
    </row>
    <row r="17">
      <c r="A17" s="121" t="n"/>
      <c r="B17" s="120" t="inlineStr">
        <is>
          <t>BOP</t>
        </is>
      </c>
      <c r="C17" s="10" t="inlineStr">
        <is>
          <t>集团综合运营平台（ESOP)</t>
        </is>
      </c>
    </row>
    <row r="18">
      <c r="A18" s="121" t="n"/>
      <c r="B18" s="121" t="n"/>
      <c r="C18" s="10" t="inlineStr">
        <is>
          <t>综合营销服务平台</t>
        </is>
      </c>
    </row>
    <row r="19">
      <c r="A19" s="121" t="n"/>
      <c r="B19" s="122" t="n"/>
      <c r="C19" s="10" t="inlineStr">
        <is>
          <t>渠道集中管控平台</t>
        </is>
      </c>
    </row>
    <row r="20">
      <c r="A20" s="121" t="n"/>
      <c r="B20" s="123" t="inlineStr">
        <is>
          <t>短信营业厅</t>
        </is>
      </c>
      <c r="C20" s="10" t="inlineStr">
        <is>
          <t>上行短信管理</t>
        </is>
      </c>
    </row>
    <row r="21">
      <c r="A21" s="121" t="n"/>
      <c r="B21" s="121" t="n"/>
      <c r="C21" s="10" t="inlineStr">
        <is>
          <t>下行短信管理</t>
        </is>
      </c>
    </row>
    <row r="22">
      <c r="A22" s="121" t="n"/>
      <c r="B22" s="121" t="n"/>
      <c r="C22" s="10" t="inlineStr">
        <is>
          <t>信息调查管理</t>
        </is>
      </c>
    </row>
    <row r="23">
      <c r="A23" s="121" t="n"/>
      <c r="B23" s="122" t="n"/>
      <c r="C23" s="10" t="inlineStr">
        <is>
          <t>配置管理</t>
        </is>
      </c>
    </row>
    <row r="24">
      <c r="A24" s="121" t="n"/>
      <c r="B24" s="123" t="inlineStr">
        <is>
          <t>网格通</t>
        </is>
      </c>
      <c r="C24" s="15" t="inlineStr">
        <is>
          <t>首页</t>
        </is>
      </c>
    </row>
    <row r="25">
      <c r="A25" s="121" t="n"/>
      <c r="B25" s="121" t="n"/>
      <c r="C25" s="16" t="inlineStr">
        <is>
          <t>营销</t>
        </is>
      </c>
    </row>
    <row r="26">
      <c r="A26" s="121" t="n"/>
      <c r="B26" s="121" t="n"/>
      <c r="C26" s="15" t="inlineStr">
        <is>
          <t>受理</t>
        </is>
      </c>
    </row>
    <row r="27">
      <c r="A27" s="121" t="n"/>
      <c r="B27" s="121" t="n"/>
      <c r="C27" s="16" t="inlineStr">
        <is>
          <t>运营</t>
        </is>
      </c>
    </row>
    <row r="28">
      <c r="A28" s="122" t="n"/>
      <c r="B28" s="122" t="n"/>
      <c r="C28" s="16" t="inlineStr">
        <is>
          <t>我的</t>
        </is>
      </c>
    </row>
    <row r="29">
      <c r="A29" s="119" t="inlineStr">
        <is>
          <t>能力运营平台</t>
        </is>
      </c>
      <c r="B29" s="119" t="inlineStr">
        <is>
          <t>能力开放</t>
        </is>
      </c>
      <c r="C29" s="15" t="inlineStr">
        <is>
          <t>门户</t>
        </is>
      </c>
    </row>
    <row r="30">
      <c r="A30" s="121" t="n"/>
      <c r="B30" s="121" t="n"/>
      <c r="C30" s="10" t="inlineStr">
        <is>
          <t>能力调用</t>
        </is>
      </c>
    </row>
    <row r="31">
      <c r="A31" s="121" t="n"/>
      <c r="B31" s="121" t="n"/>
      <c r="C31" s="10" t="inlineStr">
        <is>
          <t>能力集成管控</t>
        </is>
      </c>
    </row>
    <row r="32">
      <c r="A32" s="121" t="n"/>
      <c r="B32" s="121" t="n"/>
      <c r="C32" s="10" t="inlineStr">
        <is>
          <t>安全控制</t>
        </is>
      </c>
    </row>
    <row r="33">
      <c r="A33" s="122" t="n"/>
      <c r="B33" s="122" t="n"/>
      <c r="C33" s="16" t="inlineStr">
        <is>
          <t>公共支撑</t>
        </is>
      </c>
    </row>
    <row r="34">
      <c r="A34" s="119" t="inlineStr">
        <is>
          <t>业务中台B域</t>
        </is>
      </c>
      <c r="B34" s="18" t="inlineStr">
        <is>
          <t>客户中心</t>
        </is>
      </c>
      <c r="C34" s="25" t="inlineStr">
        <is>
          <t>参与人管理</t>
        </is>
      </c>
      <c r="D34" s="31" t="inlineStr">
        <is>
          <t>基本信息管理</t>
        </is>
      </c>
    </row>
    <row r="35">
      <c r="A35" s="121" t="n"/>
      <c r="B35" s="121" t="n"/>
      <c r="C35" s="121" t="n"/>
      <c r="D35" s="31" t="inlineStr">
        <is>
          <t>第三方账号管理</t>
        </is>
      </c>
    </row>
    <row r="36">
      <c r="A36" s="121" t="n"/>
      <c r="B36" s="121" t="n"/>
      <c r="C36" s="121" t="n"/>
      <c r="D36" s="31" t="inlineStr">
        <is>
          <t>参与人关系管理</t>
        </is>
      </c>
    </row>
    <row r="37">
      <c r="A37" s="121" t="n"/>
      <c r="B37" s="121" t="n"/>
      <c r="C37" s="122" t="n"/>
      <c r="D37" s="31" t="inlineStr">
        <is>
          <t>证件信息管理</t>
        </is>
      </c>
    </row>
    <row r="38">
      <c r="A38" s="121" t="n"/>
      <c r="B38" s="121" t="n"/>
      <c r="C38" s="25" t="inlineStr">
        <is>
          <t>客户管理</t>
        </is>
      </c>
      <c r="D38" s="31" t="inlineStr">
        <is>
          <t>客户基本信息管理</t>
        </is>
      </c>
    </row>
    <row r="39">
      <c r="A39" s="121" t="n"/>
      <c r="B39" s="121" t="n"/>
      <c r="C39" s="121" t="n"/>
      <c r="D39" s="31" t="inlineStr">
        <is>
          <t>客户信息视图</t>
        </is>
      </c>
    </row>
    <row r="40">
      <c r="A40" s="121" t="n"/>
      <c r="B40" s="121" t="n"/>
      <c r="C40" s="121" t="n"/>
      <c r="D40" s="31" t="inlineStr">
        <is>
          <t>客户关系管理</t>
        </is>
      </c>
    </row>
    <row r="41">
      <c r="A41" s="121" t="n"/>
      <c r="B41" s="121" t="n"/>
      <c r="C41" s="121" t="n"/>
      <c r="D41" s="31" t="inlineStr">
        <is>
          <t>客户扩展属性管理</t>
        </is>
      </c>
    </row>
    <row r="42">
      <c r="A42" s="121" t="n"/>
      <c r="B42" s="121" t="n"/>
      <c r="C42" s="122" t="n"/>
      <c r="D42" s="31" t="inlineStr">
        <is>
          <t>竞争对手信息管理</t>
        </is>
      </c>
    </row>
    <row r="43">
      <c r="A43" s="121" t="n"/>
      <c r="B43" s="121" t="n"/>
      <c r="C43" s="25" t="inlineStr">
        <is>
          <t>自然人管理</t>
        </is>
      </c>
      <c r="D43" s="31" t="inlineStr">
        <is>
          <t>自然人信息管理</t>
        </is>
      </c>
    </row>
    <row r="44">
      <c r="A44" s="121" t="n"/>
      <c r="B44" s="121" t="n"/>
      <c r="C44" s="124" t="inlineStr">
        <is>
          <t>账户管理</t>
        </is>
      </c>
      <c r="D44" s="31" t="inlineStr">
        <is>
          <t>账户管理</t>
        </is>
      </c>
    </row>
    <row r="45">
      <c r="A45" s="121" t="n"/>
      <c r="B45" s="121" t="n"/>
      <c r="C45" s="122" t="n"/>
      <c r="D45" s="31" t="inlineStr">
        <is>
          <t>付费信息管理</t>
        </is>
      </c>
    </row>
    <row r="46">
      <c r="A46" s="121" t="n"/>
      <c r="B46" s="121" t="n"/>
      <c r="C46" s="25" t="inlineStr">
        <is>
          <t>组织管理</t>
        </is>
      </c>
      <c r="D46" s="31" t="inlineStr">
        <is>
          <t>组织信息管理</t>
        </is>
      </c>
    </row>
    <row r="47">
      <c r="A47" s="121" t="n"/>
      <c r="B47" s="121" t="n"/>
      <c r="C47" s="121" t="n"/>
      <c r="D47" s="31" t="inlineStr">
        <is>
          <t>组织成员管理</t>
        </is>
      </c>
    </row>
    <row r="48">
      <c r="A48" s="121" t="n"/>
      <c r="B48" s="121" t="n"/>
      <c r="C48" s="121" t="n"/>
      <c r="D48" s="31" t="inlineStr">
        <is>
          <t>组织机构管理</t>
        </is>
      </c>
    </row>
    <row r="49">
      <c r="A49" s="121" t="n"/>
      <c r="B49" s="121" t="n"/>
      <c r="C49" s="122" t="n"/>
      <c r="D49" s="31" t="inlineStr">
        <is>
          <t>决策链管理</t>
        </is>
      </c>
    </row>
    <row r="50">
      <c r="A50" s="121" t="n"/>
      <c r="B50" s="121" t="n"/>
      <c r="C50" s="24" t="inlineStr">
        <is>
          <t>用户管理</t>
        </is>
      </c>
      <c r="D50" s="31" t="inlineStr">
        <is>
          <t>用户信息管理</t>
        </is>
      </c>
    </row>
    <row r="51">
      <c r="A51" s="121" t="n"/>
      <c r="B51" s="121" t="n"/>
      <c r="C51" s="121" t="n"/>
      <c r="D51" s="31" t="inlineStr">
        <is>
          <t>提醒服务管理</t>
        </is>
      </c>
    </row>
    <row r="52">
      <c r="A52" s="121" t="n"/>
      <c r="B52" s="121" t="n"/>
      <c r="C52" s="121" t="n"/>
      <c r="D52" s="31" t="inlineStr">
        <is>
          <t>用户信用度管理</t>
        </is>
      </c>
    </row>
    <row r="53">
      <c r="A53" s="121" t="n"/>
      <c r="B53" s="121" t="n"/>
      <c r="C53" s="121" t="n"/>
      <c r="D53" s="31" t="inlineStr">
        <is>
          <t>订购实例管理</t>
        </is>
      </c>
    </row>
    <row r="54">
      <c r="A54" s="121" t="n"/>
      <c r="B54" s="121" t="n"/>
      <c r="C54" s="121" t="n"/>
      <c r="D54" s="31" t="inlineStr">
        <is>
          <t>权益会员管理</t>
        </is>
      </c>
    </row>
    <row r="55">
      <c r="A55" s="121" t="n"/>
      <c r="B55" s="121" t="n"/>
      <c r="C55" s="122" t="n"/>
      <c r="D55" s="31" t="inlineStr">
        <is>
          <t>用户状态管理</t>
        </is>
      </c>
    </row>
    <row r="56">
      <c r="A56" s="121" t="n"/>
      <c r="B56" s="121" t="n"/>
      <c r="C56" s="124" t="inlineStr">
        <is>
          <t>群组管理</t>
        </is>
      </c>
      <c r="D56" s="31" t="inlineStr">
        <is>
          <t>群用户信息管理</t>
        </is>
      </c>
    </row>
    <row r="57">
      <c r="A57" s="121" t="n"/>
      <c r="B57" s="121" t="n"/>
      <c r="C57" s="122" t="n"/>
      <c r="D57" s="31" t="inlineStr">
        <is>
          <t>用户组信息管理</t>
        </is>
      </c>
    </row>
    <row r="58">
      <c r="A58" s="121" t="n"/>
      <c r="B58" s="121" t="n"/>
      <c r="C58" s="28" t="inlineStr">
        <is>
          <t>系统管理</t>
        </is>
      </c>
      <c r="D58" s="31" t="inlineStr">
        <is>
          <t>身份认证管理</t>
        </is>
      </c>
    </row>
    <row r="59">
      <c r="A59" s="121" t="n"/>
      <c r="B59" s="121" t="n"/>
      <c r="C59" s="121" t="n"/>
      <c r="D59" s="31" t="inlineStr">
        <is>
          <t>证件类型配置</t>
        </is>
      </c>
    </row>
    <row r="60">
      <c r="A60" s="121" t="n"/>
      <c r="B60" s="121" t="n"/>
      <c r="C60" s="122" t="n"/>
      <c r="D60" s="31" t="inlineStr">
        <is>
          <t>集团行业属性管理</t>
        </is>
      </c>
    </row>
    <row r="61">
      <c r="A61" s="121" t="n"/>
      <c r="B61" s="121" t="n"/>
      <c r="C61" s="25" t="inlineStr">
        <is>
          <t>参与人管理类服务</t>
        </is>
      </c>
      <c r="D61" s="31" t="inlineStr">
        <is>
          <t>参与人信息管理</t>
        </is>
      </c>
    </row>
    <row r="62">
      <c r="A62" s="121" t="n"/>
      <c r="B62" s="121" t="n"/>
      <c r="C62" s="121" t="n"/>
      <c r="D62" s="31" t="inlineStr">
        <is>
          <t>参与人角色管理</t>
        </is>
      </c>
    </row>
    <row r="63">
      <c r="A63" s="121" t="n"/>
      <c r="B63" s="121" t="n"/>
      <c r="C63" s="121" t="n"/>
      <c r="D63" s="31" t="inlineStr">
        <is>
          <t>第三方账号管理</t>
        </is>
      </c>
    </row>
    <row r="64">
      <c r="A64" s="121" t="n"/>
      <c r="B64" s="121" t="n"/>
      <c r="C64" s="121" t="n"/>
      <c r="D64" s="31" t="inlineStr">
        <is>
          <t>证件信息管理</t>
        </is>
      </c>
    </row>
    <row r="65">
      <c r="A65" s="121" t="n"/>
      <c r="B65" s="121" t="n"/>
      <c r="C65" s="122" t="n"/>
      <c r="D65" s="31" t="inlineStr">
        <is>
          <t>参与人关系管理</t>
        </is>
      </c>
    </row>
    <row r="66">
      <c r="A66" s="121" t="n"/>
      <c r="B66" s="121" t="n"/>
      <c r="C66" s="124" t="inlineStr">
        <is>
          <t>客户管理类服务</t>
        </is>
      </c>
      <c r="D66" s="31" t="inlineStr">
        <is>
          <t>基本信息管理</t>
        </is>
      </c>
    </row>
    <row r="67">
      <c r="A67" s="121" t="n"/>
      <c r="B67" s="121" t="n"/>
      <c r="C67" s="121" t="n"/>
      <c r="D67" s="31" t="inlineStr">
        <is>
          <t>客户信息视图管理</t>
        </is>
      </c>
    </row>
    <row r="68">
      <c r="A68" s="121" t="n"/>
      <c r="B68" s="121" t="n"/>
      <c r="C68" s="121" t="n"/>
      <c r="D68" s="31" t="inlineStr">
        <is>
          <t>客户关系管理</t>
        </is>
      </c>
    </row>
    <row r="69">
      <c r="A69" s="121" t="n"/>
      <c r="B69" s="121" t="n"/>
      <c r="C69" s="121" t="n"/>
      <c r="D69" s="31" t="inlineStr">
        <is>
          <t>客户标签管理</t>
        </is>
      </c>
    </row>
    <row r="70">
      <c r="A70" s="121" t="n"/>
      <c r="B70" s="121" t="n"/>
      <c r="C70" s="121" t="n"/>
      <c r="D70" s="31" t="inlineStr">
        <is>
          <t>客户信息等级管理</t>
        </is>
      </c>
    </row>
    <row r="71">
      <c r="A71" s="121" t="n"/>
      <c r="B71" s="121" t="n"/>
      <c r="C71" s="122" t="n"/>
      <c r="D71" s="31" t="inlineStr">
        <is>
          <t>客户信用度管理</t>
        </is>
      </c>
    </row>
    <row r="72">
      <c r="A72" s="121" t="n"/>
      <c r="B72" s="121" t="n"/>
      <c r="C72" s="28" t="inlineStr">
        <is>
          <t>自然人管理类服务</t>
        </is>
      </c>
      <c r="D72" s="31" t="inlineStr">
        <is>
          <t>自然人创建</t>
        </is>
      </c>
    </row>
    <row r="73">
      <c r="A73" s="121" t="n"/>
      <c r="B73" s="121" t="n"/>
      <c r="C73" s="121" t="n"/>
      <c r="D73" s="31" t="inlineStr">
        <is>
          <t>自然人查询</t>
        </is>
      </c>
    </row>
    <row r="74">
      <c r="A74" s="121" t="n"/>
      <c r="B74" s="121" t="n"/>
      <c r="C74" s="122" t="n"/>
      <c r="D74" s="31" t="inlineStr">
        <is>
          <t>自然人更新</t>
        </is>
      </c>
    </row>
    <row r="75">
      <c r="A75" s="121" t="n"/>
      <c r="B75" s="121" t="n"/>
      <c r="C75" s="28" t="inlineStr">
        <is>
          <t>账户管理类服务</t>
        </is>
      </c>
      <c r="D75" s="31" t="inlineStr">
        <is>
          <t>账户管理</t>
        </is>
      </c>
    </row>
    <row r="76">
      <c r="A76" s="121" t="n"/>
      <c r="B76" s="121" t="n"/>
      <c r="C76" s="122" t="n"/>
      <c r="D76" s="31" t="inlineStr">
        <is>
          <t>付费关系管理</t>
        </is>
      </c>
    </row>
    <row r="77">
      <c r="A77" s="121" t="n"/>
      <c r="B77" s="121" t="n"/>
      <c r="C77" s="28" t="inlineStr">
        <is>
          <t>组织管理类服务</t>
        </is>
      </c>
      <c r="D77" s="31" t="inlineStr">
        <is>
          <t>组织信息管理</t>
        </is>
      </c>
    </row>
    <row r="78">
      <c r="A78" s="121" t="n"/>
      <c r="B78" s="121" t="n"/>
      <c r="C78" s="121" t="n"/>
      <c r="D78" s="31" t="inlineStr">
        <is>
          <t>组织成员管理</t>
        </is>
      </c>
    </row>
    <row r="79">
      <c r="A79" s="121" t="n"/>
      <c r="B79" s="121" t="n"/>
      <c r="C79" s="121" t="n"/>
      <c r="D79" s="31" t="inlineStr">
        <is>
          <t>组织机构管理</t>
        </is>
      </c>
    </row>
    <row r="80">
      <c r="A80" s="121" t="n"/>
      <c r="B80" s="121" t="n"/>
      <c r="C80" s="122" t="n"/>
      <c r="D80" s="31" t="inlineStr">
        <is>
          <t>决策链管理</t>
        </is>
      </c>
    </row>
    <row r="81">
      <c r="A81" s="121" t="n"/>
      <c r="B81" s="121" t="n"/>
      <c r="C81" s="124" t="inlineStr">
        <is>
          <t>用户管理类服务</t>
        </is>
      </c>
      <c r="D81" s="31" t="inlineStr">
        <is>
          <t>用户密码管理</t>
        </is>
      </c>
    </row>
    <row r="82">
      <c r="A82" s="121" t="n"/>
      <c r="B82" s="121" t="n"/>
      <c r="C82" s="121" t="n"/>
      <c r="D82" s="31" t="inlineStr">
        <is>
          <t>用户状态管理</t>
        </is>
      </c>
    </row>
    <row r="83">
      <c r="A83" s="121" t="n"/>
      <c r="B83" s="121" t="n"/>
      <c r="C83" s="121" t="n"/>
      <c r="D83" s="31" t="inlineStr">
        <is>
          <t>用户信用度管理</t>
        </is>
      </c>
    </row>
    <row r="84">
      <c r="A84" s="121" t="n"/>
      <c r="B84" s="121" t="n"/>
      <c r="C84" s="121" t="n"/>
      <c r="D84" s="31" t="inlineStr">
        <is>
          <t>订购实例管理</t>
        </is>
      </c>
    </row>
    <row r="85">
      <c r="A85" s="121" t="n"/>
      <c r="B85" s="121" t="n"/>
      <c r="C85" s="121" t="n"/>
      <c r="D85" s="31" t="inlineStr">
        <is>
          <t>权益会员信息管理</t>
        </is>
      </c>
    </row>
    <row r="86">
      <c r="A86" s="121" t="n"/>
      <c r="B86" s="121" t="n"/>
      <c r="C86" s="122" t="n"/>
      <c r="D86" s="31" t="inlineStr">
        <is>
          <t>用户标签管理</t>
        </is>
      </c>
    </row>
    <row r="87">
      <c r="A87" s="121" t="n"/>
      <c r="B87" s="121" t="n"/>
      <c r="C87" s="28" t="inlineStr">
        <is>
          <t>群组管理类服务</t>
        </is>
      </c>
      <c r="D87" s="31" t="inlineStr">
        <is>
          <t>群组信息管理</t>
        </is>
      </c>
    </row>
    <row r="88">
      <c r="A88" s="121" t="n"/>
      <c r="B88" s="121" t="n"/>
      <c r="C88" s="122" t="n"/>
      <c r="D88" s="31" t="inlineStr">
        <is>
          <t>用户组信息管理</t>
        </is>
      </c>
    </row>
    <row r="89">
      <c r="A89" s="121" t="n"/>
      <c r="B89" s="121" t="n"/>
      <c r="C89" s="28" t="inlineStr">
        <is>
          <t>系统类服务</t>
        </is>
      </c>
      <c r="D89" s="31" t="inlineStr">
        <is>
          <t>身份鉴权管理</t>
        </is>
      </c>
    </row>
    <row r="90">
      <c r="A90" s="121" t="n"/>
      <c r="B90" s="121" t="n"/>
      <c r="C90" s="121" t="n"/>
      <c r="D90" s="31" t="inlineStr">
        <is>
          <t>随机密码管理</t>
        </is>
      </c>
    </row>
    <row r="91">
      <c r="A91" s="121" t="n"/>
      <c r="B91" s="121" t="n"/>
      <c r="C91" s="122" t="n"/>
      <c r="D91" s="31" t="inlineStr">
        <is>
          <t>凭证鉴权管理</t>
        </is>
      </c>
    </row>
    <row r="92">
      <c r="A92" s="121" t="n"/>
      <c r="B92" s="18" t="inlineStr">
        <is>
          <t>产商品中心</t>
        </is>
      </c>
      <c r="C92" s="25" t="inlineStr">
        <is>
          <t>公共管理</t>
        </is>
      </c>
      <c r="D92" s="31" t="inlineStr">
        <is>
          <t>产品公共信息管理</t>
        </is>
      </c>
    </row>
    <row r="93">
      <c r="A93" s="121" t="n"/>
      <c r="B93" s="121" t="n"/>
      <c r="C93" s="122" t="n"/>
      <c r="D93" s="31" t="inlineStr">
        <is>
          <t>商品公共信息管理</t>
        </is>
      </c>
    </row>
    <row r="94">
      <c r="A94" s="121" t="n"/>
      <c r="B94" s="121" t="n"/>
      <c r="C94" s="25" t="inlineStr">
        <is>
          <t>产品管理</t>
        </is>
      </c>
      <c r="D94" s="31" t="inlineStr">
        <is>
          <t>产品创建</t>
        </is>
      </c>
    </row>
    <row r="95">
      <c r="A95" s="121" t="n"/>
      <c r="B95" s="121" t="n"/>
      <c r="C95" s="121" t="n"/>
      <c r="D95" s="31" t="inlineStr">
        <is>
          <t>产品变更</t>
        </is>
      </c>
    </row>
    <row r="96">
      <c r="A96" s="121" t="n"/>
      <c r="B96" s="121" t="n"/>
      <c r="C96" s="121" t="n"/>
      <c r="D96" s="31" t="inlineStr">
        <is>
          <t>产品推广失效</t>
        </is>
      </c>
    </row>
    <row r="97">
      <c r="A97" s="121" t="n"/>
      <c r="B97" s="121" t="n"/>
      <c r="C97" s="122" t="n"/>
      <c r="D97" s="31" t="inlineStr">
        <is>
          <t>产品失效</t>
        </is>
      </c>
    </row>
    <row r="98">
      <c r="A98" s="121" t="n"/>
      <c r="B98" s="121" t="n"/>
      <c r="C98" s="25" t="inlineStr">
        <is>
          <t>商品管理</t>
        </is>
      </c>
      <c r="D98" s="31" t="inlineStr">
        <is>
          <t>商品创建</t>
        </is>
      </c>
    </row>
    <row r="99">
      <c r="A99" s="121" t="n"/>
      <c r="B99" s="121" t="n"/>
      <c r="C99" s="121" t="n"/>
      <c r="D99" s="31" t="inlineStr">
        <is>
          <t>商品变更</t>
        </is>
      </c>
    </row>
    <row r="100">
      <c r="A100" s="121" t="n"/>
      <c r="B100" s="121" t="n"/>
      <c r="C100" s="121" t="n"/>
      <c r="D100" s="31" t="inlineStr">
        <is>
          <t>商品审核</t>
        </is>
      </c>
    </row>
    <row r="101">
      <c r="A101" s="121" t="n"/>
      <c r="B101" s="121" t="n"/>
      <c r="C101" s="121" t="n"/>
      <c r="D101" s="31" t="inlineStr">
        <is>
          <t>商品上下架</t>
        </is>
      </c>
    </row>
    <row r="102">
      <c r="A102" s="121" t="n"/>
      <c r="B102" s="121" t="n"/>
      <c r="C102" s="121" t="n"/>
      <c r="D102" s="31" t="inlineStr">
        <is>
          <t>商品失效</t>
        </is>
      </c>
    </row>
    <row r="103">
      <c r="A103" s="121" t="n"/>
      <c r="B103" s="121" t="n"/>
      <c r="C103" s="122" t="n"/>
      <c r="D103" s="31" t="inlineStr">
        <is>
          <t>商品测试</t>
        </is>
      </c>
    </row>
    <row r="104">
      <c r="A104" s="121" t="n"/>
      <c r="B104" s="121" t="n"/>
      <c r="C104" s="30" t="inlineStr">
        <is>
          <t>量纲管理</t>
        </is>
      </c>
      <c r="D104" s="31" t="inlineStr">
        <is>
          <t>量纲信息管理</t>
        </is>
      </c>
    </row>
    <row r="105">
      <c r="A105" s="121" t="n"/>
      <c r="B105" s="121" t="n"/>
      <c r="C105" s="122" t="n"/>
      <c r="D105" s="31" t="inlineStr">
        <is>
          <t>量纲绑定关系管理</t>
        </is>
      </c>
    </row>
    <row r="106">
      <c r="A106" s="121" t="n"/>
      <c r="B106" s="121" t="n"/>
      <c r="C106" s="25" t="inlineStr">
        <is>
          <t>优惠管理</t>
        </is>
      </c>
      <c r="D106" s="31" t="inlineStr">
        <is>
          <t>优惠规则管理</t>
        </is>
      </c>
    </row>
    <row r="107">
      <c r="A107" s="121" t="n"/>
      <c r="B107" s="121" t="n"/>
      <c r="C107" s="121" t="n"/>
      <c r="D107" s="31" t="inlineStr">
        <is>
          <t>优惠规则参数管理</t>
        </is>
      </c>
    </row>
    <row r="108">
      <c r="A108" s="121" t="n"/>
      <c r="B108" s="121" t="n"/>
      <c r="C108" s="121" t="n"/>
      <c r="D108" s="31" t="inlineStr">
        <is>
          <t>优惠对象管理</t>
        </is>
      </c>
    </row>
    <row r="109">
      <c r="A109" s="121" t="n"/>
      <c r="B109" s="121" t="n"/>
      <c r="C109" s="122" t="n"/>
      <c r="D109" s="31" t="inlineStr">
        <is>
          <t>优惠绑定关系管理</t>
        </is>
      </c>
    </row>
    <row r="110">
      <c r="A110" s="121" t="n"/>
      <c r="B110" s="121" t="n"/>
      <c r="C110" s="25" t="inlineStr">
        <is>
          <t>融合业务管理</t>
        </is>
      </c>
      <c r="D110" s="31" t="inlineStr">
        <is>
          <t>融合业务模板管理</t>
        </is>
      </c>
    </row>
    <row r="111">
      <c r="A111" s="121" t="n"/>
      <c r="B111" s="121" t="n"/>
      <c r="C111" s="121" t="n"/>
      <c r="D111" s="31" t="inlineStr">
        <is>
          <t>融合业务构成管理</t>
        </is>
      </c>
    </row>
    <row r="112">
      <c r="A112" s="121" t="n"/>
      <c r="B112" s="121" t="n"/>
      <c r="C112" s="122" t="n"/>
      <c r="D112" s="31" t="inlineStr">
        <is>
          <t>融合业务构成约束管理</t>
        </is>
      </c>
    </row>
    <row r="113">
      <c r="A113" s="121" t="n"/>
      <c r="B113" s="121" t="n"/>
      <c r="C113" s="25" t="inlineStr">
        <is>
          <t>业务服务模板管理</t>
        </is>
      </c>
      <c r="D113" s="31" t="inlineStr">
        <is>
          <t>服务模板管理</t>
        </is>
      </c>
    </row>
    <row r="114">
      <c r="A114" s="121" t="n"/>
      <c r="B114" s="121" t="n"/>
      <c r="C114" s="122" t="n"/>
      <c r="D114" s="31" t="inlineStr">
        <is>
          <t>服务模板参数管理</t>
        </is>
      </c>
    </row>
    <row r="115">
      <c r="A115" s="121" t="n"/>
      <c r="B115" s="121" t="n"/>
      <c r="C115" s="25" t="inlineStr">
        <is>
          <t>一站式配置管理</t>
        </is>
      </c>
      <c r="D115" s="31" t="inlineStr">
        <is>
          <t>工作台管理</t>
        </is>
      </c>
    </row>
    <row r="116">
      <c r="A116" s="121" t="n"/>
      <c r="B116" s="121" t="n"/>
      <c r="C116" s="122" t="n"/>
      <c r="D116" s="31" t="inlineStr">
        <is>
          <t>商品统计分析</t>
        </is>
      </c>
    </row>
    <row r="117">
      <c r="A117" s="121" t="n"/>
      <c r="B117" s="121" t="n"/>
      <c r="C117" s="25" t="inlineStr">
        <is>
          <t>促销配置管理</t>
        </is>
      </c>
      <c r="D117" s="31" t="inlineStr">
        <is>
          <t>促销元素管理</t>
        </is>
      </c>
    </row>
    <row r="118">
      <c r="A118" s="121" t="n"/>
      <c r="B118" s="121" t="n"/>
      <c r="C118" s="121" t="n"/>
      <c r="D118" s="31" t="inlineStr">
        <is>
          <t>促销模板管理</t>
        </is>
      </c>
    </row>
    <row r="119">
      <c r="A119" s="121" t="n"/>
      <c r="B119" s="121" t="n"/>
      <c r="C119" s="122" t="n"/>
      <c r="D119" s="31" t="inlineStr">
        <is>
          <t>促销活动管理</t>
        </is>
      </c>
    </row>
    <row r="120">
      <c r="A120" s="121" t="n"/>
      <c r="B120" s="121" t="n"/>
      <c r="C120" s="25" t="inlineStr">
        <is>
          <t>团购管理</t>
        </is>
      </c>
      <c r="D120" s="31" t="inlineStr">
        <is>
          <t>团购信息管理</t>
        </is>
      </c>
    </row>
    <row r="121">
      <c r="A121" s="121" t="n"/>
      <c r="B121" s="121" t="n"/>
      <c r="C121" s="122" t="n"/>
      <c r="D121" s="31" t="inlineStr">
        <is>
          <t>团购绑定关系管理</t>
        </is>
      </c>
    </row>
    <row r="122">
      <c r="A122" s="121" t="n"/>
      <c r="B122" s="121" t="n"/>
      <c r="C122" s="25" t="inlineStr">
        <is>
          <t>促销生命周期管理</t>
        </is>
      </c>
      <c r="D122" s="31" t="inlineStr">
        <is>
          <t>促销模板流程管理</t>
        </is>
      </c>
    </row>
    <row r="123">
      <c r="A123" s="121" t="n"/>
      <c r="B123" s="121" t="n"/>
      <c r="C123" s="122" t="n"/>
      <c r="D123" s="31" t="inlineStr">
        <is>
          <t>促销活动流程管理</t>
        </is>
      </c>
    </row>
    <row r="124">
      <c r="A124" s="121" t="n"/>
      <c r="B124" s="121" t="n"/>
      <c r="C124" s="25" t="inlineStr">
        <is>
          <t>促销管控分析</t>
        </is>
      </c>
      <c r="D124" s="31" t="inlineStr">
        <is>
          <t>促销成本管理</t>
        </is>
      </c>
    </row>
    <row r="125">
      <c r="A125" s="121" t="n"/>
      <c r="B125" s="121" t="n"/>
      <c r="C125" s="121" t="n"/>
      <c r="D125" s="31" t="inlineStr">
        <is>
          <t>促销成本管控</t>
        </is>
      </c>
    </row>
    <row r="126">
      <c r="A126" s="121" t="n"/>
      <c r="B126" s="121" t="n"/>
      <c r="C126" s="122" t="n"/>
      <c r="D126" s="31" t="inlineStr">
        <is>
          <t>促销统计分析</t>
        </is>
      </c>
    </row>
    <row r="127" s="52">
      <c r="A127" s="121" t="n"/>
      <c r="B127" s="121" t="n"/>
      <c r="C127" s="25" t="inlineStr">
        <is>
          <t>目录类服务</t>
        </is>
      </c>
      <c r="D127" s="31" t="inlineStr">
        <is>
          <t>目录查询</t>
        </is>
      </c>
    </row>
    <row r="128">
      <c r="A128" s="121" t="n"/>
      <c r="B128" s="121" t="n"/>
      <c r="C128" s="122" t="n"/>
      <c r="D128" s="31" t="inlineStr">
        <is>
          <t>特色目录管理</t>
        </is>
      </c>
    </row>
    <row r="129">
      <c r="A129" s="121" t="n"/>
      <c r="B129" s="121" t="n"/>
      <c r="C129" s="25" t="inlineStr">
        <is>
          <t>检验算费类服务</t>
        </is>
      </c>
      <c r="D129" s="31" t="inlineStr">
        <is>
          <t>商品算价</t>
        </is>
      </c>
    </row>
    <row r="130">
      <c r="A130" s="121" t="n"/>
      <c r="B130" s="121" t="n"/>
      <c r="C130" s="121" t="n"/>
      <c r="D130" s="31" t="inlineStr">
        <is>
          <t>商品校验</t>
        </is>
      </c>
    </row>
    <row r="131">
      <c r="A131" s="121" t="n"/>
      <c r="B131" s="121" t="n"/>
      <c r="C131" s="122" t="n"/>
      <c r="D131" s="31" t="inlineStr">
        <is>
          <t>可见即能办</t>
        </is>
      </c>
    </row>
    <row r="132">
      <c r="A132" s="121" t="n"/>
      <c r="B132" s="121" t="n"/>
      <c r="C132" s="25" t="inlineStr">
        <is>
          <t>产品类服务</t>
        </is>
      </c>
      <c r="D132" s="31" t="inlineStr">
        <is>
          <t>产品基本信息查询</t>
        </is>
      </c>
    </row>
    <row r="133">
      <c r="A133" s="121" t="n"/>
      <c r="B133" s="121" t="n"/>
      <c r="C133" s="121" t="n"/>
      <c r="D133" s="31" t="inlineStr">
        <is>
          <t>产品详细信息查询</t>
        </is>
      </c>
    </row>
    <row r="134">
      <c r="A134" s="121" t="n"/>
      <c r="B134" s="121" t="n"/>
      <c r="C134" s="121" t="n"/>
      <c r="D134" s="31" t="inlineStr">
        <is>
          <t>产品检索服务</t>
        </is>
      </c>
    </row>
    <row r="135">
      <c r="A135" s="121" t="n"/>
      <c r="B135" s="121" t="n"/>
      <c r="C135" s="121" t="n"/>
      <c r="D135" s="31" t="inlineStr">
        <is>
          <t>产品逻辑关系查询</t>
        </is>
      </c>
    </row>
    <row r="136">
      <c r="A136" s="121" t="n"/>
      <c r="B136" s="121" t="n"/>
      <c r="C136" s="121" t="n"/>
      <c r="D136" s="31" t="inlineStr">
        <is>
          <t>产品包含关系查询</t>
        </is>
      </c>
    </row>
    <row r="137">
      <c r="A137" s="121" t="n"/>
      <c r="B137" s="121" t="n"/>
      <c r="C137" s="122" t="n"/>
      <c r="D137" s="31" t="inlineStr">
        <is>
          <t>产品库存查询</t>
        </is>
      </c>
    </row>
    <row r="138">
      <c r="A138" s="121" t="n"/>
      <c r="B138" s="121" t="n"/>
      <c r="C138" s="25" t="inlineStr">
        <is>
          <t>商品类服务</t>
        </is>
      </c>
      <c r="D138" s="31" t="inlineStr">
        <is>
          <t>商品基本信息查询</t>
        </is>
      </c>
    </row>
    <row r="139">
      <c r="A139" s="121" t="n"/>
      <c r="B139" s="121" t="n"/>
      <c r="C139" s="121" t="n"/>
      <c r="D139" s="31" t="inlineStr">
        <is>
          <t>商品销售信息查询</t>
        </is>
      </c>
    </row>
    <row r="140">
      <c r="A140" s="121" t="n"/>
      <c r="B140" s="121" t="n"/>
      <c r="C140" s="121" t="n"/>
      <c r="D140" s="31" t="inlineStr">
        <is>
          <t>商品库存查询</t>
        </is>
      </c>
    </row>
    <row r="141">
      <c r="A141" s="121" t="n"/>
      <c r="B141" s="121" t="n"/>
      <c r="C141" s="121" t="n"/>
      <c r="D141" s="31" t="inlineStr">
        <is>
          <t>商品二维码查询</t>
        </is>
      </c>
    </row>
    <row r="142">
      <c r="A142" s="121" t="n"/>
      <c r="B142" s="121" t="n"/>
      <c r="C142" s="121" t="n"/>
      <c r="D142" s="31" t="inlineStr">
        <is>
          <t>商品关系查询</t>
        </is>
      </c>
    </row>
    <row r="143">
      <c r="A143" s="121" t="n"/>
      <c r="B143" s="121" t="n"/>
      <c r="C143" s="122" t="n"/>
      <c r="D143" s="31" t="inlineStr">
        <is>
          <t>商品检索服务</t>
        </is>
      </c>
    </row>
    <row r="144">
      <c r="A144" s="121" t="n"/>
      <c r="B144" s="121" t="n"/>
      <c r="C144" s="25" t="inlineStr">
        <is>
          <t>营销活动类服务</t>
        </is>
      </c>
      <c r="D144" s="31" t="inlineStr">
        <is>
          <t>营销活动配置</t>
        </is>
      </c>
    </row>
    <row r="145">
      <c r="A145" s="121" t="n"/>
      <c r="B145" s="121" t="n"/>
      <c r="C145" s="121" t="n"/>
      <c r="D145" s="31" t="inlineStr">
        <is>
          <t>营销活动查询</t>
        </is>
      </c>
    </row>
    <row r="146">
      <c r="A146" s="121" t="n"/>
      <c r="B146" s="121" t="n"/>
      <c r="C146" s="122" t="n"/>
      <c r="D146" s="31" t="inlineStr">
        <is>
          <t>营销活动校验</t>
        </is>
      </c>
    </row>
    <row r="147" s="52">
      <c r="A147" s="121" t="n"/>
      <c r="B147" s="33" t="inlineStr">
        <is>
          <t>订单中心</t>
        </is>
      </c>
      <c r="C147" s="38" t="inlineStr">
        <is>
          <t>订单预受理</t>
        </is>
      </c>
      <c r="D147" s="35" t="inlineStr">
        <is>
          <t>预受理单创建</t>
        </is>
      </c>
    </row>
    <row r="148" s="52">
      <c r="A148" s="121" t="n"/>
      <c r="B148" s="121" t="n"/>
      <c r="C148" s="121" t="n"/>
      <c r="D148" s="35" t="inlineStr">
        <is>
          <t>预受理单撤销</t>
        </is>
      </c>
    </row>
    <row r="149" s="52">
      <c r="A149" s="121" t="n"/>
      <c r="B149" s="121" t="n"/>
      <c r="C149" s="121" t="n"/>
      <c r="D149" s="35" t="inlineStr">
        <is>
          <t>预受理单修改</t>
        </is>
      </c>
    </row>
    <row r="150" s="52">
      <c r="A150" s="121" t="n"/>
      <c r="B150" s="121" t="n"/>
      <c r="C150" s="122" t="n"/>
      <c r="D150" s="35" t="inlineStr">
        <is>
          <t>预受理单转订单</t>
        </is>
      </c>
    </row>
    <row r="151" s="52">
      <c r="A151" s="121" t="n"/>
      <c r="B151" s="121" t="n"/>
      <c r="C151" s="36" t="inlineStr">
        <is>
          <t>订单监控</t>
        </is>
      </c>
      <c r="D151" s="35" t="inlineStr">
        <is>
          <t>订单执行监控</t>
        </is>
      </c>
    </row>
    <row r="152" s="52">
      <c r="A152" s="121" t="n"/>
      <c r="B152" s="121" t="n"/>
      <c r="C152" s="121" t="n"/>
      <c r="D152" s="35" t="inlineStr">
        <is>
          <t>费用监控</t>
        </is>
      </c>
    </row>
    <row r="153" s="52">
      <c r="A153" s="121" t="n"/>
      <c r="B153" s="121" t="n"/>
      <c r="C153" s="121" t="n"/>
      <c r="D153" s="35" t="inlineStr">
        <is>
          <t>订单超时监控</t>
        </is>
      </c>
    </row>
    <row r="154" s="52">
      <c r="A154" s="121" t="n"/>
      <c r="B154" s="121" t="n"/>
      <c r="C154" s="121" t="n"/>
      <c r="D154" s="35" t="inlineStr">
        <is>
          <t>订单催单</t>
        </is>
      </c>
    </row>
    <row r="155" s="52">
      <c r="A155" s="121" t="n"/>
      <c r="B155" s="121" t="n"/>
      <c r="C155" s="38" t="inlineStr">
        <is>
          <t>订单透明化</t>
        </is>
      </c>
      <c r="D155" s="35" t="inlineStr">
        <is>
          <t>订单调度信息查询</t>
        </is>
      </c>
    </row>
    <row r="156" s="52">
      <c r="A156" s="121" t="n"/>
      <c r="B156" s="121" t="n"/>
      <c r="C156" s="38" t="inlineStr">
        <is>
          <t>订单受理</t>
        </is>
      </c>
      <c r="D156" s="35" t="inlineStr">
        <is>
          <t>订单创建</t>
        </is>
      </c>
    </row>
    <row r="157" s="52">
      <c r="A157" s="121" t="n"/>
      <c r="B157" s="121" t="n"/>
      <c r="C157" s="121" t="n"/>
      <c r="D157" s="35" t="inlineStr">
        <is>
          <t>订单撤销</t>
        </is>
      </c>
    </row>
    <row r="158" s="52">
      <c r="A158" s="121" t="n"/>
      <c r="B158" s="121" t="n"/>
      <c r="C158" s="121" t="n"/>
      <c r="D158" s="35" t="inlineStr">
        <is>
          <t>订单校验</t>
        </is>
      </c>
    </row>
    <row r="159" s="52">
      <c r="A159" s="121" t="n"/>
      <c r="B159" s="121" t="n"/>
      <c r="C159" s="121" t="n"/>
      <c r="D159" s="35" t="inlineStr">
        <is>
          <t>订单优惠</t>
        </is>
      </c>
    </row>
    <row r="160" s="52">
      <c r="A160" s="121" t="n"/>
      <c r="B160" s="121" t="n"/>
      <c r="C160" s="121" t="n"/>
      <c r="D160" s="35" t="inlineStr">
        <is>
          <t>订单确认</t>
        </is>
      </c>
    </row>
    <row r="161" s="52">
      <c r="A161" s="121" t="n"/>
      <c r="B161" s="121" t="n"/>
      <c r="C161" s="121" t="n"/>
      <c r="D161" s="35" t="inlineStr">
        <is>
          <t>资源预占</t>
        </is>
      </c>
    </row>
    <row r="162" s="52">
      <c r="A162" s="121" t="n"/>
      <c r="B162" s="121" t="n"/>
      <c r="C162" s="121" t="n"/>
      <c r="D162" s="35" t="inlineStr">
        <is>
          <t>订单状态查询</t>
        </is>
      </c>
    </row>
    <row r="163" s="52">
      <c r="A163" s="121" t="n"/>
      <c r="B163" s="121" t="n"/>
      <c r="C163" s="121" t="n"/>
      <c r="D163" s="35" t="inlineStr">
        <is>
          <t>订单信息查询</t>
        </is>
      </c>
    </row>
    <row r="164" s="52">
      <c r="A164" s="121" t="n"/>
      <c r="B164" s="121" t="n"/>
      <c r="C164" s="121" t="n"/>
      <c r="D164" s="35" t="inlineStr">
        <is>
          <t>购物车查询</t>
        </is>
      </c>
    </row>
    <row r="165" s="52">
      <c r="A165" s="121" t="n"/>
      <c r="B165" s="121" t="n"/>
      <c r="C165" s="121" t="n"/>
      <c r="D165" s="35" t="inlineStr">
        <is>
          <t>购物车项增加</t>
        </is>
      </c>
    </row>
    <row r="166" s="52">
      <c r="A166" s="121" t="n"/>
      <c r="B166" s="121" t="n"/>
      <c r="C166" s="121" t="n"/>
      <c r="D166" s="35" t="inlineStr">
        <is>
          <t>购物车项修改</t>
        </is>
      </c>
    </row>
    <row r="167" s="52">
      <c r="A167" s="121" t="n"/>
      <c r="B167" s="121" t="n"/>
      <c r="C167" s="121" t="n"/>
      <c r="D167" s="35" t="inlineStr">
        <is>
          <t>购物车校验</t>
        </is>
      </c>
    </row>
    <row r="168" s="52">
      <c r="A168" s="121" t="n"/>
      <c r="B168" s="121" t="n"/>
      <c r="C168" s="121" t="n"/>
      <c r="D168" s="35" t="inlineStr">
        <is>
          <t>购物车项删减</t>
        </is>
      </c>
    </row>
    <row r="169" s="52">
      <c r="A169" s="121" t="n"/>
      <c r="B169" s="121" t="n"/>
      <c r="C169" s="122" t="n"/>
      <c r="D169" s="35" t="inlineStr">
        <is>
          <t>购物车展示</t>
        </is>
      </c>
    </row>
    <row r="170" s="52">
      <c r="A170" s="121" t="n"/>
      <c r="B170" s="121" t="n"/>
      <c r="C170" s="37" t="inlineStr">
        <is>
          <t>订单处理</t>
        </is>
      </c>
      <c r="D170" s="35" t="inlineStr">
        <is>
          <t>订单分解</t>
        </is>
      </c>
    </row>
    <row r="171" s="52">
      <c r="A171" s="121" t="n"/>
      <c r="B171" s="121" t="n"/>
      <c r="C171" s="121" t="n"/>
      <c r="D171" s="35" t="inlineStr">
        <is>
          <t>支付单处理</t>
        </is>
      </c>
    </row>
    <row r="172" s="52">
      <c r="A172" s="121" t="n"/>
      <c r="B172" s="121" t="n"/>
      <c r="C172" s="121" t="n"/>
      <c r="D172" s="35" t="inlineStr">
        <is>
          <t>订单反馈</t>
        </is>
      </c>
    </row>
    <row r="173" s="52">
      <c r="A173" s="121" t="n"/>
      <c r="B173" s="121" t="n"/>
      <c r="C173" s="121" t="n"/>
      <c r="D173" s="35" t="inlineStr">
        <is>
          <t>订单竣工</t>
        </is>
      </c>
    </row>
    <row r="174" s="52">
      <c r="A174" s="121" t="n"/>
      <c r="B174" s="121" t="n"/>
      <c r="C174" s="121" t="n"/>
      <c r="D174" s="35" t="inlineStr">
        <is>
          <t>配送单处理</t>
        </is>
      </c>
    </row>
    <row r="175" s="52">
      <c r="A175" s="121" t="n"/>
      <c r="B175" s="121" t="n"/>
      <c r="C175" s="121" t="n"/>
      <c r="D175" s="35" t="inlineStr">
        <is>
          <t>订单审核</t>
        </is>
      </c>
    </row>
    <row r="176" s="52">
      <c r="A176" s="121" t="n"/>
      <c r="B176" s="121" t="n"/>
      <c r="C176" s="121" t="n"/>
      <c r="D176" s="35" t="inlineStr">
        <is>
          <t>订单撤销</t>
        </is>
      </c>
    </row>
    <row r="177" s="52">
      <c r="A177" s="121" t="n"/>
      <c r="B177" s="121" t="n"/>
      <c r="C177" s="121" t="n"/>
      <c r="D177" s="35" t="inlineStr">
        <is>
          <t>订单评价</t>
        </is>
      </c>
    </row>
    <row r="178" s="52">
      <c r="A178" s="121" t="n"/>
      <c r="B178" s="121" t="n"/>
      <c r="C178" s="121" t="n"/>
      <c r="D178" s="35" t="inlineStr">
        <is>
          <t>订单调度</t>
        </is>
      </c>
    </row>
    <row r="179" s="52">
      <c r="A179" s="121" t="n"/>
      <c r="B179" s="121" t="n"/>
      <c r="C179" s="122" t="n"/>
      <c r="D179" s="35" t="inlineStr">
        <is>
          <t>工单调度</t>
        </is>
      </c>
    </row>
    <row r="180" s="52">
      <c r="A180" s="121" t="n"/>
      <c r="B180" s="33" t="n"/>
      <c r="C180" s="37" t="inlineStr">
        <is>
          <t>购物车管理类服务</t>
        </is>
      </c>
      <c r="D180" s="35" t="inlineStr">
        <is>
          <t>加入购物车服务</t>
        </is>
      </c>
    </row>
    <row r="181" s="52">
      <c r="A181" s="121" t="n"/>
      <c r="B181" s="33" t="n"/>
      <c r="C181" s="121" t="n"/>
      <c r="D181" s="35" t="inlineStr">
        <is>
          <t>购物车提交服务</t>
        </is>
      </c>
    </row>
    <row r="182" s="52">
      <c r="A182" s="121" t="n"/>
      <c r="B182" s="33" t="n"/>
      <c r="C182" s="121" t="n"/>
      <c r="D182" s="35" t="inlineStr">
        <is>
          <t>删除购物车服务</t>
        </is>
      </c>
    </row>
    <row r="183" s="52">
      <c r="A183" s="121" t="n"/>
      <c r="B183" s="33" t="n"/>
      <c r="C183" s="122" t="n"/>
      <c r="D183" s="35" t="inlineStr">
        <is>
          <t>购物车查询服务</t>
        </is>
      </c>
    </row>
    <row r="184" s="52">
      <c r="A184" s="121" t="n"/>
      <c r="B184" s="33" t="n"/>
      <c r="C184" s="37" t="inlineStr">
        <is>
          <t>订单查询类服务</t>
        </is>
      </c>
      <c r="D184" s="35" t="inlineStr">
        <is>
          <t>客户订单基本信息查询服务</t>
        </is>
      </c>
    </row>
    <row r="185" s="52">
      <c r="A185" s="121" t="n"/>
      <c r="B185" s="33" t="n"/>
      <c r="C185" s="121" t="n"/>
      <c r="D185" s="35" t="inlineStr">
        <is>
          <t>客户订单详细信息查询服务</t>
        </is>
      </c>
    </row>
    <row r="186" s="52">
      <c r="A186" s="121" t="n"/>
      <c r="B186" s="33" t="n"/>
      <c r="C186" s="121" t="n"/>
      <c r="D186" s="35" t="inlineStr">
        <is>
          <t>配送单信息查询服务</t>
        </is>
      </c>
    </row>
    <row r="187" s="52">
      <c r="A187" s="121" t="n"/>
      <c r="B187" s="33" t="n"/>
      <c r="C187" s="122" t="n"/>
      <c r="D187" s="35" t="inlineStr">
        <is>
          <t>支付单查询服务</t>
        </is>
      </c>
    </row>
    <row r="188" s="52">
      <c r="A188" s="121" t="n"/>
      <c r="B188" s="33" t="n"/>
      <c r="C188" s="37" t="inlineStr">
        <is>
          <t>预受理类服务</t>
        </is>
      </c>
      <c r="D188" s="35" t="inlineStr">
        <is>
          <t>预受理单创建服务</t>
        </is>
      </c>
    </row>
    <row r="189" s="52">
      <c r="A189" s="121" t="n"/>
      <c r="B189" s="33" t="n"/>
      <c r="C189" s="121" t="n"/>
      <c r="D189" s="35" t="inlineStr">
        <is>
          <t>预受理单撤销服务</t>
        </is>
      </c>
    </row>
    <row r="190" s="52">
      <c r="A190" s="121" t="n"/>
      <c r="B190" s="33" t="n"/>
      <c r="C190" s="122" t="n"/>
      <c r="D190" s="35" t="inlineStr">
        <is>
          <t>预受理单转订单服务</t>
        </is>
      </c>
    </row>
    <row r="191" s="52">
      <c r="A191" s="121" t="n"/>
      <c r="B191" s="33" t="n"/>
      <c r="C191" s="37" t="inlineStr">
        <is>
          <t>订单受理类服务</t>
        </is>
      </c>
      <c r="D191" s="35" t="inlineStr">
        <is>
          <t>订单创建服务</t>
        </is>
      </c>
    </row>
    <row r="192" s="52">
      <c r="A192" s="121" t="n"/>
      <c r="B192" s="33" t="n"/>
      <c r="C192" s="121" t="n"/>
      <c r="D192" s="35" t="inlineStr">
        <is>
          <t>订单创建校验服务</t>
        </is>
      </c>
    </row>
    <row r="193" s="52">
      <c r="A193" s="121" t="n"/>
      <c r="B193" s="33" t="n"/>
      <c r="C193" s="121" t="n"/>
      <c r="D193" s="35" t="inlineStr">
        <is>
          <t>订单撤销服务</t>
        </is>
      </c>
    </row>
    <row r="194" s="52">
      <c r="A194" s="121" t="n"/>
      <c r="B194" s="33" t="n"/>
      <c r="C194" s="122" t="n"/>
      <c r="D194" s="35" t="inlineStr">
        <is>
          <t>短信二次确认结果接受</t>
        </is>
      </c>
    </row>
    <row r="195" s="52">
      <c r="A195" s="121" t="n"/>
      <c r="B195" s="33" t="n"/>
      <c r="C195" s="37" t="inlineStr">
        <is>
          <t>订单处理类服务</t>
        </is>
      </c>
      <c r="D195" s="35" t="inlineStr">
        <is>
          <t>订单分解服务</t>
        </is>
      </c>
    </row>
    <row r="196" s="52">
      <c r="A196" s="121" t="n"/>
      <c r="B196" s="33" t="n"/>
      <c r="C196" s="121" t="n"/>
      <c r="D196" s="35" t="inlineStr">
        <is>
          <t>支付单拆分服务</t>
        </is>
      </c>
    </row>
    <row r="197" s="52">
      <c r="A197" s="121" t="n"/>
      <c r="B197" s="33" t="n"/>
      <c r="C197" s="121" t="n"/>
      <c r="D197" s="35" t="inlineStr">
        <is>
          <t>订单竣工服务</t>
        </is>
      </c>
    </row>
    <row r="198" s="52">
      <c r="A198" s="121" t="n"/>
      <c r="B198" s="33" t="n"/>
      <c r="C198" s="121" t="n"/>
      <c r="D198" s="35" t="inlineStr">
        <is>
          <t>订单反馈服务</t>
        </is>
      </c>
    </row>
    <row r="199" s="52">
      <c r="A199" s="121" t="n"/>
      <c r="B199" s="33" t="n"/>
      <c r="C199" s="121" t="n"/>
      <c r="D199" s="35" t="inlineStr">
        <is>
          <t>订单调度服务</t>
        </is>
      </c>
    </row>
    <row r="200" s="52">
      <c r="A200" s="121" t="n"/>
      <c r="B200" s="33" t="n"/>
      <c r="C200" s="122" t="n"/>
      <c r="D200" s="35" t="inlineStr">
        <is>
          <t>订单评价服务</t>
        </is>
      </c>
    </row>
    <row r="201">
      <c r="A201" s="121" t="n"/>
      <c r="B201" s="18" t="inlineStr">
        <is>
          <t>销售中心</t>
        </is>
      </c>
      <c r="C201" s="25" t="inlineStr">
        <is>
          <t>销售线索管理</t>
        </is>
      </c>
      <c r="D201" s="31" t="inlineStr">
        <is>
          <t>线索生成</t>
        </is>
      </c>
    </row>
    <row r="202">
      <c r="A202" s="121" t="n"/>
      <c r="B202" s="121" t="n"/>
      <c r="C202" s="121" t="n"/>
      <c r="D202" s="31" t="inlineStr">
        <is>
          <t>线索申查</t>
        </is>
      </c>
    </row>
    <row r="203">
      <c r="A203" s="121" t="n"/>
      <c r="B203" s="121" t="n"/>
      <c r="C203" s="121" t="n"/>
      <c r="D203" s="31" t="inlineStr">
        <is>
          <t>线索分派</t>
        </is>
      </c>
    </row>
    <row r="204">
      <c r="A204" s="121" t="n"/>
      <c r="B204" s="121" t="n"/>
      <c r="C204" s="121" t="n"/>
      <c r="D204" s="31" t="inlineStr">
        <is>
          <t>线索跟踪</t>
        </is>
      </c>
    </row>
    <row r="205">
      <c r="A205" s="121" t="n"/>
      <c r="B205" s="121" t="n"/>
      <c r="C205" s="121" t="n"/>
      <c r="D205" s="31" t="inlineStr">
        <is>
          <t>线索转化</t>
        </is>
      </c>
    </row>
    <row r="206">
      <c r="A206" s="121" t="n"/>
      <c r="B206" s="121" t="n"/>
      <c r="C206" s="121" t="n"/>
      <c r="D206" s="31" t="inlineStr">
        <is>
          <t>线索综合查询</t>
        </is>
      </c>
    </row>
    <row r="207">
      <c r="A207" s="121" t="n"/>
      <c r="B207" s="121" t="n"/>
      <c r="C207" s="122" t="n"/>
      <c r="D207" s="31" t="inlineStr">
        <is>
          <t>线索认领</t>
        </is>
      </c>
    </row>
    <row r="208">
      <c r="A208" s="121" t="n"/>
      <c r="B208" s="121" t="n"/>
      <c r="C208" s="25" t="inlineStr">
        <is>
          <t>商机管理</t>
        </is>
      </c>
      <c r="D208" s="31" t="inlineStr">
        <is>
          <t>商机生成</t>
        </is>
      </c>
    </row>
    <row r="209">
      <c r="A209" s="121" t="n"/>
      <c r="B209" s="121" t="n"/>
      <c r="C209" s="121" t="n"/>
      <c r="D209" s="31" t="inlineStr">
        <is>
          <t>商机分派</t>
        </is>
      </c>
    </row>
    <row r="210">
      <c r="A210" s="121" t="n"/>
      <c r="B210" s="121" t="n"/>
      <c r="C210" s="121" t="n"/>
      <c r="D210" s="31" t="inlineStr">
        <is>
          <t>商机转化</t>
        </is>
      </c>
    </row>
    <row r="211">
      <c r="A211" s="121" t="n"/>
      <c r="B211" s="121" t="n"/>
      <c r="C211" s="121" t="n"/>
      <c r="D211" s="31" t="inlineStr">
        <is>
          <t>商机综合查询</t>
        </is>
      </c>
    </row>
    <row r="212">
      <c r="A212" s="121" t="n"/>
      <c r="B212" s="121" t="n"/>
      <c r="C212" s="121" t="n"/>
      <c r="D212" s="31" t="inlineStr">
        <is>
          <t>商机上报</t>
        </is>
      </c>
    </row>
    <row r="213">
      <c r="A213" s="121" t="n"/>
      <c r="B213" s="121" t="n"/>
      <c r="C213" s="121" t="n"/>
      <c r="D213" s="31" t="inlineStr">
        <is>
          <t>商机接收</t>
        </is>
      </c>
    </row>
    <row r="214">
      <c r="A214" s="121" t="n"/>
      <c r="B214" s="121" t="n"/>
      <c r="C214" s="121" t="n"/>
      <c r="D214" s="31" t="inlineStr">
        <is>
          <t>商机终止</t>
        </is>
      </c>
    </row>
    <row r="215">
      <c r="A215" s="121" t="n"/>
      <c r="B215" s="121" t="n"/>
      <c r="C215" s="121" t="n"/>
      <c r="D215" s="31" t="inlineStr">
        <is>
          <t>商机归档</t>
        </is>
      </c>
    </row>
    <row r="216">
      <c r="A216" s="121" t="n"/>
      <c r="B216" s="121" t="n"/>
      <c r="C216" s="121" t="n"/>
      <c r="D216" s="31" t="inlineStr">
        <is>
          <t>商机评估</t>
        </is>
      </c>
    </row>
    <row r="217">
      <c r="A217" s="121" t="n"/>
      <c r="B217" s="121" t="n"/>
      <c r="C217" s="121" t="n"/>
      <c r="D217" s="31" t="inlineStr">
        <is>
          <t>商机评审</t>
        </is>
      </c>
    </row>
    <row r="218">
      <c r="A218" s="121" t="n"/>
      <c r="B218" s="121" t="n"/>
      <c r="C218" s="121" t="n"/>
      <c r="D218" s="31" t="inlineStr">
        <is>
          <t>商机客情掌握</t>
        </is>
      </c>
    </row>
    <row r="219">
      <c r="A219" s="121" t="n"/>
      <c r="B219" s="121" t="n"/>
      <c r="C219" s="121" t="n"/>
      <c r="D219" s="31" t="inlineStr">
        <is>
          <t>商机关键里程碑跟进</t>
        </is>
      </c>
    </row>
    <row r="220">
      <c r="A220" s="121" t="n"/>
      <c r="B220" s="121" t="n"/>
      <c r="C220" s="121" t="n"/>
      <c r="D220" s="31" t="inlineStr">
        <is>
          <t>商机复盘</t>
        </is>
      </c>
    </row>
    <row r="221">
      <c r="A221" s="121" t="n"/>
      <c r="B221" s="121" t="n"/>
      <c r="C221" s="121" t="n"/>
      <c r="D221" s="31" t="inlineStr">
        <is>
          <t>商机奖惩</t>
        </is>
      </c>
    </row>
    <row r="222">
      <c r="A222" s="121" t="n"/>
      <c r="B222" s="121" t="n"/>
      <c r="C222" s="122" t="n"/>
      <c r="D222" s="31" t="inlineStr">
        <is>
          <t>商机视图</t>
        </is>
      </c>
    </row>
    <row r="223">
      <c r="A223" s="121" t="n"/>
      <c r="B223" s="121" t="n"/>
      <c r="C223" s="25" t="inlineStr">
        <is>
          <t>合同管理</t>
        </is>
      </c>
      <c r="D223" s="31" t="inlineStr">
        <is>
          <t>合同模板管理</t>
        </is>
      </c>
    </row>
    <row r="224">
      <c r="A224" s="121" t="n"/>
      <c r="B224" s="121" t="n"/>
      <c r="C224" s="121" t="n"/>
      <c r="D224" s="31" t="inlineStr">
        <is>
          <t>合同归档</t>
        </is>
      </c>
    </row>
    <row r="225">
      <c r="A225" s="121" t="n"/>
      <c r="B225" s="121" t="n"/>
      <c r="C225" s="121" t="n"/>
      <c r="D225" s="31" t="inlineStr">
        <is>
          <t>合同稽核</t>
        </is>
      </c>
    </row>
    <row r="226">
      <c r="A226" s="121" t="n"/>
      <c r="B226" s="121" t="n"/>
      <c r="C226" s="121" t="n"/>
      <c r="D226" s="31" t="inlineStr">
        <is>
          <t>合同签约</t>
        </is>
      </c>
    </row>
    <row r="227">
      <c r="A227" s="121" t="n"/>
      <c r="B227" s="121" t="n"/>
      <c r="C227" s="122" t="n"/>
      <c r="D227" s="31" t="inlineStr">
        <is>
          <t>售后服务</t>
        </is>
      </c>
    </row>
    <row r="228">
      <c r="A228" s="121" t="n"/>
      <c r="B228" s="121" t="n"/>
      <c r="C228" s="24" t="inlineStr">
        <is>
          <t>运营管理</t>
        </is>
      </c>
      <c r="D228" s="31" t="inlineStr">
        <is>
          <t>例行工作</t>
        </is>
      </c>
    </row>
    <row r="229">
      <c r="A229" s="121" t="n"/>
      <c r="B229" s="121" t="n"/>
      <c r="C229" s="121" t="n"/>
      <c r="D229" s="31" t="inlineStr">
        <is>
          <t>团队管理</t>
        </is>
      </c>
    </row>
    <row r="230">
      <c r="A230" s="121" t="n"/>
      <c r="B230" s="121" t="n"/>
      <c r="C230" s="122" t="n"/>
      <c r="D230" s="31" t="inlineStr">
        <is>
          <t>运营分析</t>
        </is>
      </c>
    </row>
    <row r="231">
      <c r="A231" s="121" t="n"/>
      <c r="B231" s="121" t="n"/>
      <c r="C231" s="24" t="inlineStr">
        <is>
          <t>销售线索类服务</t>
        </is>
      </c>
      <c r="D231" s="31" t="inlineStr">
        <is>
          <t>销售线索创建</t>
        </is>
      </c>
    </row>
    <row r="232">
      <c r="A232" s="121" t="n"/>
      <c r="B232" s="121" t="n"/>
      <c r="C232" s="121" t="n"/>
      <c r="D232" s="31" t="inlineStr">
        <is>
          <t>销售线索更新</t>
        </is>
      </c>
    </row>
    <row r="233">
      <c r="A233" s="121" t="n"/>
      <c r="B233" s="121" t="n"/>
      <c r="C233" s="121" t="n"/>
      <c r="D233" s="31" t="inlineStr">
        <is>
          <t>销售线索查询</t>
        </is>
      </c>
    </row>
    <row r="234">
      <c r="A234" s="121" t="n"/>
      <c r="B234" s="121" t="n"/>
      <c r="C234" s="121" t="n"/>
      <c r="D234" s="31" t="inlineStr">
        <is>
          <t>销售线索分配</t>
        </is>
      </c>
    </row>
    <row r="235">
      <c r="A235" s="121" t="n"/>
      <c r="B235" s="121" t="n"/>
      <c r="C235" s="121" t="n"/>
      <c r="D235" s="31" t="inlineStr">
        <is>
          <t>销售线索认领</t>
        </is>
      </c>
    </row>
    <row r="236">
      <c r="A236" s="121" t="n"/>
      <c r="B236" s="121" t="n"/>
      <c r="C236" s="121" t="n"/>
      <c r="D236" s="31" t="inlineStr">
        <is>
          <t>销售线索审查</t>
        </is>
      </c>
    </row>
    <row r="237">
      <c r="A237" s="121" t="n"/>
      <c r="B237" s="121" t="n"/>
      <c r="C237" s="122" t="n"/>
      <c r="D237" s="31" t="inlineStr">
        <is>
          <t>销售线索转商机</t>
        </is>
      </c>
    </row>
    <row r="238">
      <c r="A238" s="121" t="n"/>
      <c r="B238" s="121" t="n"/>
      <c r="C238" s="123" t="inlineStr">
        <is>
          <t>运营管理类服务</t>
        </is>
      </c>
      <c r="D238" s="31" t="inlineStr">
        <is>
          <t>销售处理分析</t>
        </is>
      </c>
    </row>
    <row r="239">
      <c r="A239" s="121" t="n"/>
      <c r="B239" s="121" t="n"/>
      <c r="C239" s="121" t="n"/>
      <c r="D239" s="31" t="inlineStr">
        <is>
          <t>销售漏斗分析</t>
        </is>
      </c>
    </row>
    <row r="240">
      <c r="A240" s="121" t="n"/>
      <c r="B240" s="121" t="n"/>
      <c r="C240" s="121" t="n"/>
      <c r="D240" s="31" t="inlineStr">
        <is>
          <t>销售排名分析</t>
        </is>
      </c>
    </row>
    <row r="241">
      <c r="A241" s="121" t="n"/>
      <c r="B241" s="121" t="n"/>
      <c r="C241" s="121" t="n"/>
      <c r="D241" s="31" t="inlineStr">
        <is>
          <t>商机流失分析</t>
        </is>
      </c>
    </row>
    <row r="242">
      <c r="A242" s="121" t="n"/>
      <c r="B242" s="121" t="n"/>
      <c r="C242" s="121" t="n"/>
      <c r="D242" s="31" t="inlineStr">
        <is>
          <t>销售运营监控分析</t>
        </is>
      </c>
    </row>
    <row r="243">
      <c r="A243" s="121" t="n"/>
      <c r="B243" s="121" t="n"/>
      <c r="C243" s="122" t="n"/>
      <c r="D243" s="31" t="inlineStr">
        <is>
          <t>合同分析</t>
        </is>
      </c>
    </row>
    <row r="244">
      <c r="A244" s="121" t="n"/>
      <c r="B244" s="121" t="n"/>
      <c r="C244" s="123" t="inlineStr">
        <is>
          <t>商机类服务</t>
        </is>
      </c>
      <c r="D244" s="31" t="inlineStr">
        <is>
          <t>商机创建</t>
        </is>
      </c>
    </row>
    <row r="245">
      <c r="A245" s="121" t="n"/>
      <c r="B245" s="121" t="n"/>
      <c r="C245" s="121" t="n"/>
      <c r="D245" s="31" t="inlineStr">
        <is>
          <t>商机更新</t>
        </is>
      </c>
    </row>
    <row r="246">
      <c r="A246" s="121" t="n"/>
      <c r="B246" s="121" t="n"/>
      <c r="C246" s="121" t="n"/>
      <c r="D246" s="31" t="inlineStr">
        <is>
          <t>商机分配</t>
        </is>
      </c>
    </row>
    <row r="247">
      <c r="A247" s="121" t="n"/>
      <c r="B247" s="121" t="n"/>
      <c r="C247" s="121" t="n"/>
      <c r="D247" s="31" t="inlineStr">
        <is>
          <t>商机转订单通知</t>
        </is>
      </c>
    </row>
    <row r="248">
      <c r="A248" s="121" t="n"/>
      <c r="B248" s="121" t="n"/>
      <c r="C248" s="122" t="n"/>
      <c r="D248" s="31" t="inlineStr">
        <is>
          <t>商机归档</t>
        </is>
      </c>
    </row>
    <row r="249">
      <c r="A249" s="121" t="n"/>
      <c r="B249" s="121" t="n"/>
      <c r="C249" s="16" t="n"/>
    </row>
    <row r="250" ht="14.15" customHeight="1" s="52">
      <c r="A250" s="121" t="n"/>
      <c r="B250" s="119" t="inlineStr">
        <is>
          <t>零售库存中心</t>
        </is>
      </c>
      <c r="C250" s="39" t="inlineStr">
        <is>
          <t>物流管理</t>
        </is>
      </c>
    </row>
    <row r="251">
      <c r="A251" s="121" t="n"/>
      <c r="B251" s="121" t="n"/>
      <c r="C251" s="10" t="inlineStr">
        <is>
          <t>库存管理</t>
        </is>
      </c>
    </row>
    <row r="252">
      <c r="A252" s="121" t="n"/>
      <c r="B252" s="121" t="n"/>
      <c r="C252" s="10" t="inlineStr">
        <is>
          <t>对象信息管理</t>
        </is>
      </c>
    </row>
    <row r="253">
      <c r="A253" s="121" t="n"/>
      <c r="B253" s="121" t="n"/>
      <c r="C253" s="10" t="inlineStr">
        <is>
          <t>有价卡管理</t>
        </is>
      </c>
    </row>
    <row r="254">
      <c r="A254" s="121" t="n"/>
      <c r="B254" s="121" t="n"/>
      <c r="C254" s="10" t="inlineStr">
        <is>
          <t>计件物品管理</t>
        </is>
      </c>
    </row>
    <row r="255">
      <c r="A255" s="121" t="n"/>
      <c r="B255" s="121" t="n"/>
      <c r="C255" s="10" t="inlineStr">
        <is>
          <t>SIM卡管理</t>
        </is>
      </c>
    </row>
    <row r="256">
      <c r="A256" s="121" t="n"/>
      <c r="B256" s="121" t="n"/>
      <c r="C256" s="10" t="inlineStr">
        <is>
          <t>号码管理</t>
        </is>
      </c>
    </row>
    <row r="257">
      <c r="A257" s="121" t="n"/>
      <c r="B257" s="121" t="n"/>
      <c r="C257" s="10" t="inlineStr">
        <is>
          <t>计件物品管理</t>
        </is>
      </c>
    </row>
    <row r="258">
      <c r="A258" s="121" t="n"/>
      <c r="B258" s="121" t="n"/>
      <c r="C258" s="10" t="inlineStr">
        <is>
          <t>卡卷管理</t>
        </is>
      </c>
    </row>
    <row r="259" ht="14.15" customHeight="1" s="52">
      <c r="A259" s="121" t="n"/>
      <c r="B259" s="121" t="n"/>
      <c r="C259" s="39" t="inlineStr">
        <is>
          <t>甲种卡管理</t>
        </is>
      </c>
    </row>
    <row r="260">
      <c r="A260" s="121" t="n"/>
      <c r="B260" s="122" t="n"/>
      <c r="C260" s="10" t="inlineStr">
        <is>
          <t>综合管理</t>
        </is>
      </c>
    </row>
    <row r="261">
      <c r="A261" s="121" t="n"/>
      <c r="B261" s="119" t="inlineStr">
        <is>
          <t>渠道中心</t>
        </is>
      </c>
      <c r="C261" s="10" t="inlineStr">
        <is>
          <t>渠道人员信息管理</t>
        </is>
      </c>
    </row>
    <row r="262">
      <c r="A262" s="121" t="n"/>
      <c r="B262" s="121" t="n"/>
      <c r="C262" s="10" t="inlineStr">
        <is>
          <t>渠道组织管理</t>
        </is>
      </c>
    </row>
    <row r="263">
      <c r="A263" s="121" t="n"/>
      <c r="B263" s="121" t="n"/>
      <c r="C263" s="10" t="inlineStr">
        <is>
          <t>呼唤炮火</t>
        </is>
      </c>
    </row>
    <row r="264">
      <c r="A264" s="121" t="n"/>
      <c r="B264" s="121" t="n"/>
      <c r="C264" s="10" t="inlineStr">
        <is>
          <t>统一调度</t>
        </is>
      </c>
    </row>
    <row r="265">
      <c r="A265" s="121" t="n"/>
      <c r="B265" s="121" t="n"/>
      <c r="C265" s="10" t="inlineStr">
        <is>
          <t>网格化管理</t>
        </is>
      </c>
    </row>
    <row r="266">
      <c r="A266" s="121" t="n"/>
      <c r="B266" s="121" t="n"/>
      <c r="C266" s="10" t="inlineStr">
        <is>
          <t>销售积分</t>
        </is>
      </c>
    </row>
    <row r="267">
      <c r="A267" s="121" t="n"/>
      <c r="B267" s="121" t="n"/>
      <c r="C267" s="10" t="inlineStr">
        <is>
          <t>互联网排队管理</t>
        </is>
      </c>
    </row>
    <row r="268">
      <c r="A268" s="121" t="n"/>
      <c r="B268" s="121" t="n"/>
      <c r="C268" s="10" t="inlineStr">
        <is>
          <t>盲点小区管理</t>
        </is>
      </c>
    </row>
    <row r="269">
      <c r="A269" s="121" t="n"/>
      <c r="B269" s="121" t="n"/>
      <c r="C269" s="10" t="inlineStr">
        <is>
          <t>事件中心</t>
        </is>
      </c>
    </row>
    <row r="270">
      <c r="A270" s="121" t="n"/>
      <c r="B270" s="122" t="n"/>
      <c r="C270" s="10" t="inlineStr">
        <is>
          <t>电子框架管理</t>
        </is>
      </c>
    </row>
    <row r="271" s="52">
      <c r="A271" s="121" t="n"/>
      <c r="B271" s="33" t="inlineStr">
        <is>
          <t>计费账务中心</t>
        </is>
      </c>
      <c r="C271" s="38" t="inlineStr">
        <is>
          <t>综合采集</t>
        </is>
      </c>
      <c r="D271" s="35" t="inlineStr">
        <is>
          <t>离线采集</t>
        </is>
      </c>
    </row>
    <row r="272" s="52">
      <c r="A272" s="121" t="n"/>
      <c r="B272" s="121" t="n"/>
      <c r="C272" s="121" t="n"/>
      <c r="D272" s="35" t="inlineStr">
        <is>
          <t>格式转换</t>
        </is>
      </c>
    </row>
    <row r="273" s="52">
      <c r="A273" s="121" t="n"/>
      <c r="B273" s="121" t="n"/>
      <c r="C273" s="121" t="n"/>
      <c r="D273" s="35" t="inlineStr">
        <is>
          <t>在线接入</t>
        </is>
      </c>
    </row>
    <row r="274" s="52">
      <c r="A274" s="121" t="n"/>
      <c r="B274" s="121" t="n"/>
      <c r="C274" s="122" t="n"/>
      <c r="D274" s="35" t="inlineStr">
        <is>
          <t>话单检错</t>
        </is>
      </c>
    </row>
    <row r="275" s="52">
      <c r="A275" s="121" t="n"/>
      <c r="B275" s="121" t="n"/>
      <c r="C275" s="37" t="inlineStr">
        <is>
          <t>业务管理</t>
        </is>
      </c>
      <c r="D275" s="35" t="inlineStr">
        <is>
          <t>业务分析</t>
        </is>
      </c>
    </row>
    <row r="276" s="52">
      <c r="A276" s="121" t="n"/>
      <c r="B276" s="121" t="n"/>
      <c r="C276" s="121" t="n"/>
      <c r="D276" s="35" t="inlineStr">
        <is>
          <t>融合批价</t>
        </is>
      </c>
    </row>
    <row r="277" s="52">
      <c r="A277" s="121" t="n"/>
      <c r="B277" s="121" t="n"/>
      <c r="C277" s="121" t="n"/>
      <c r="D277" s="35" t="inlineStr">
        <is>
          <t>在线控制</t>
        </is>
      </c>
    </row>
    <row r="278" s="52">
      <c r="A278" s="121" t="n"/>
      <c r="B278" s="121" t="n"/>
      <c r="C278" s="121" t="n"/>
      <c r="D278" s="35" t="inlineStr">
        <is>
          <t>高额管理</t>
        </is>
      </c>
    </row>
    <row r="279" s="52">
      <c r="A279" s="121" t="n"/>
      <c r="B279" s="121" t="n"/>
      <c r="C279" s="122" t="n"/>
      <c r="D279" s="35" t="inlineStr">
        <is>
          <t>错单管理</t>
        </is>
      </c>
    </row>
    <row r="280" s="52">
      <c r="A280" s="121" t="n"/>
      <c r="B280" s="121" t="n"/>
      <c r="C280" s="37" t="inlineStr">
        <is>
          <t>资费管理</t>
        </is>
      </c>
      <c r="D280" s="35" t="inlineStr">
        <is>
          <t>资费配置</t>
        </is>
      </c>
    </row>
    <row r="281" s="52">
      <c r="A281" s="121" t="n"/>
      <c r="B281" s="121" t="n"/>
      <c r="C281" s="121" t="n"/>
      <c r="D281" s="35" t="inlineStr">
        <is>
          <t>资费创建</t>
        </is>
      </c>
    </row>
    <row r="282" s="52">
      <c r="A282" s="121" t="n"/>
      <c r="B282" s="121" t="n"/>
      <c r="C282" s="121" t="n"/>
      <c r="D282" s="35" t="inlineStr">
        <is>
          <t>资费变更</t>
        </is>
      </c>
    </row>
    <row r="283" s="52">
      <c r="A283" s="121" t="n"/>
      <c r="B283" s="121" t="n"/>
      <c r="C283" s="121" t="n"/>
      <c r="D283" s="35" t="inlineStr">
        <is>
          <t>资费下线</t>
        </is>
      </c>
    </row>
    <row r="284" s="52">
      <c r="A284" s="121" t="n"/>
      <c r="B284" s="121" t="n"/>
      <c r="C284" s="122" t="n"/>
      <c r="D284" s="35" t="inlineStr">
        <is>
          <t>产商品资费</t>
        </is>
      </c>
    </row>
    <row r="285" s="52">
      <c r="A285" s="121" t="n"/>
      <c r="B285" s="121" t="n"/>
      <c r="C285" s="38" t="inlineStr">
        <is>
          <t>账务处理</t>
        </is>
      </c>
      <c r="D285" s="35" t="inlineStr">
        <is>
          <t>出账计算</t>
        </is>
      </c>
    </row>
    <row r="286" s="52">
      <c r="A286" s="121" t="n"/>
      <c r="B286" s="121" t="n"/>
      <c r="C286" s="121" t="n"/>
      <c r="D286" s="35" t="inlineStr">
        <is>
          <t>虚拟出账</t>
        </is>
      </c>
    </row>
    <row r="287" s="52">
      <c r="A287" s="121" t="n"/>
      <c r="B287" s="121" t="n"/>
      <c r="C287" s="121" t="n"/>
      <c r="D287" s="35" t="inlineStr">
        <is>
          <t>开打检查</t>
        </is>
      </c>
    </row>
    <row r="288" s="52">
      <c r="A288" s="121" t="n"/>
      <c r="B288" s="121" t="n"/>
      <c r="C288" s="121" t="n"/>
      <c r="D288" s="35" t="inlineStr">
        <is>
          <t>经分接口</t>
        </is>
      </c>
    </row>
    <row r="289" s="52">
      <c r="A289" s="121" t="n"/>
      <c r="B289" s="121" t="n"/>
      <c r="C289" s="121" t="n"/>
      <c r="D289" s="35" t="inlineStr">
        <is>
          <t>出账关系分拣</t>
        </is>
      </c>
    </row>
    <row r="290" s="52">
      <c r="A290" s="121" t="n"/>
      <c r="B290" s="121" t="n"/>
      <c r="C290" s="121" t="n"/>
      <c r="D290" s="35" t="inlineStr">
        <is>
          <t>实时合账</t>
        </is>
      </c>
    </row>
    <row r="291" s="52">
      <c r="A291" s="121" t="n"/>
      <c r="B291" s="121" t="n"/>
      <c r="C291" s="121" t="n"/>
      <c r="D291" s="35" t="inlineStr">
        <is>
          <t>账务优惠</t>
        </is>
      </c>
    </row>
    <row r="292" s="52">
      <c r="A292" s="121" t="n"/>
      <c r="B292" s="121" t="n"/>
      <c r="C292" s="122" t="n"/>
      <c r="D292" s="35" t="inlineStr">
        <is>
          <t>分批出账</t>
        </is>
      </c>
    </row>
    <row r="293" s="52">
      <c r="A293" s="121" t="n"/>
      <c r="B293" s="121" t="n"/>
      <c r="C293" s="38" t="inlineStr">
        <is>
          <t>综合账务</t>
        </is>
      </c>
      <c r="D293" s="35" t="inlineStr">
        <is>
          <t>缴费管理</t>
        </is>
      </c>
    </row>
    <row r="294" s="52">
      <c r="A294" s="121" t="n"/>
      <c r="B294" s="121" t="n"/>
      <c r="C294" s="121" t="n"/>
      <c r="D294" s="35" t="inlineStr">
        <is>
          <t>实时销账</t>
        </is>
      </c>
    </row>
    <row r="295" s="52">
      <c r="A295" s="121" t="n"/>
      <c r="B295" s="121" t="n"/>
      <c r="C295" s="121" t="n"/>
      <c r="D295" s="35" t="inlineStr">
        <is>
          <t>账户管理</t>
        </is>
      </c>
    </row>
    <row r="296" s="52">
      <c r="A296" s="121" t="n"/>
      <c r="B296" s="121" t="n"/>
      <c r="C296" s="121" t="n"/>
      <c r="D296" s="35" t="inlineStr">
        <is>
          <t>出账关系管理</t>
        </is>
      </c>
    </row>
    <row r="297" s="52">
      <c r="A297" s="121" t="n"/>
      <c r="B297" s="121" t="n"/>
      <c r="C297" s="121" t="n"/>
      <c r="D297" s="35" t="inlineStr">
        <is>
          <t>账单管理</t>
        </is>
      </c>
    </row>
    <row r="298" s="52">
      <c r="A298" s="121" t="n"/>
      <c r="B298" s="121" t="n"/>
      <c r="C298" s="121" t="n"/>
      <c r="D298" s="35" t="inlineStr">
        <is>
          <t>欠费管理</t>
        </is>
      </c>
    </row>
    <row r="299" s="52">
      <c r="A299" s="121" t="n"/>
      <c r="B299" s="121" t="n"/>
      <c r="C299" s="121" t="n"/>
      <c r="D299" s="35" t="inlineStr">
        <is>
          <t>发票管理</t>
        </is>
      </c>
    </row>
    <row r="300" s="52">
      <c r="A300" s="121" t="n"/>
      <c r="B300" s="121" t="n"/>
      <c r="C300" s="122" t="n"/>
      <c r="D300" s="35" t="inlineStr">
        <is>
          <t>账务关系管理</t>
        </is>
      </c>
    </row>
    <row r="301" s="52">
      <c r="A301" s="121" t="n"/>
      <c r="B301" s="121" t="n"/>
      <c r="C301" s="38" t="inlineStr">
        <is>
          <t>提醒管理</t>
        </is>
      </c>
      <c r="D301" s="35" t="inlineStr">
        <is>
          <t>提醒规则</t>
        </is>
      </c>
    </row>
    <row r="302" s="52">
      <c r="A302" s="121" t="n"/>
      <c r="B302" s="121" t="n"/>
      <c r="C302" s="121" t="n"/>
      <c r="D302" s="35" t="inlineStr">
        <is>
          <t>提醒控制</t>
        </is>
      </c>
    </row>
    <row r="303" s="52">
      <c r="A303" s="121" t="n"/>
      <c r="B303" s="121" t="n"/>
      <c r="C303" s="122" t="n"/>
      <c r="D303" s="35" t="inlineStr">
        <is>
          <t>提醒模板管理</t>
        </is>
      </c>
    </row>
    <row r="304" s="52">
      <c r="A304" s="121" t="n"/>
      <c r="B304" s="121" t="n"/>
      <c r="C304" s="38" t="inlineStr">
        <is>
          <t>量纲管理</t>
        </is>
      </c>
      <c r="D304" s="35" t="inlineStr">
        <is>
          <t>量纲来源管理</t>
        </is>
      </c>
    </row>
    <row r="305" s="52">
      <c r="A305" s="121" t="n"/>
      <c r="B305" s="121" t="n"/>
      <c r="C305" s="121" t="n"/>
      <c r="D305" s="35" t="inlineStr">
        <is>
          <t>量纲引擎</t>
        </is>
      </c>
    </row>
    <row r="306" s="52">
      <c r="A306" s="121" t="n"/>
      <c r="B306" s="121" t="n"/>
      <c r="C306" s="122" t="n"/>
      <c r="D306" s="35" t="inlineStr">
        <is>
          <t>量纲明细管理</t>
        </is>
      </c>
    </row>
    <row r="307">
      <c r="A307" s="121" t="n"/>
      <c r="B307" s="121" t="n"/>
      <c r="C307" s="38" t="inlineStr">
        <is>
          <t>积分管理</t>
        </is>
      </c>
      <c r="D307" s="35" t="inlineStr">
        <is>
          <t>积分计算</t>
        </is>
      </c>
    </row>
    <row r="308">
      <c r="A308" s="121" t="n"/>
      <c r="B308" s="121" t="n"/>
      <c r="C308" s="121" t="n"/>
      <c r="D308" s="35" t="inlineStr">
        <is>
          <t>积分扣减</t>
        </is>
      </c>
    </row>
    <row r="309">
      <c r="A309" s="121" t="n"/>
      <c r="B309" s="121" t="n"/>
      <c r="C309" s="121" t="n"/>
      <c r="D309" s="35" t="inlineStr">
        <is>
          <t>积分冻结</t>
        </is>
      </c>
    </row>
    <row r="310">
      <c r="A310" s="121" t="n"/>
      <c r="B310" s="121" t="n"/>
      <c r="C310" s="121" t="n"/>
      <c r="D310" s="35" t="inlineStr">
        <is>
          <t>积分充值</t>
        </is>
      </c>
    </row>
    <row r="311">
      <c r="A311" s="121" t="n"/>
      <c r="B311" s="121" t="n"/>
      <c r="C311" s="122" t="n"/>
      <c r="D311" s="35" t="inlineStr">
        <is>
          <t>积分转赠</t>
        </is>
      </c>
    </row>
    <row r="312">
      <c r="A312" s="121" t="n"/>
      <c r="B312" s="121" t="n"/>
      <c r="C312" s="38" t="inlineStr">
        <is>
          <t>余额管理</t>
        </is>
      </c>
      <c r="D312" s="35" t="inlineStr">
        <is>
          <t>实时账单数据管理</t>
        </is>
      </c>
    </row>
    <row r="313">
      <c r="A313" s="121" t="n"/>
      <c r="B313" s="121" t="n"/>
      <c r="C313" s="121" t="n"/>
      <c r="D313" s="35" t="inlineStr">
        <is>
          <t>免费资源数据管理</t>
        </is>
      </c>
    </row>
    <row r="314">
      <c r="A314" s="121" t="n"/>
      <c r="B314" s="121" t="n"/>
      <c r="C314" s="121" t="n"/>
      <c r="D314" s="35" t="inlineStr">
        <is>
          <t>消费提醒触发</t>
        </is>
      </c>
    </row>
    <row r="315">
      <c r="A315" s="121" t="n"/>
      <c r="B315" s="121" t="n"/>
      <c r="C315" s="121" t="n"/>
      <c r="D315" s="35" t="inlineStr">
        <is>
          <t>累积量管理</t>
        </is>
      </c>
    </row>
    <row r="316">
      <c r="A316" s="121" t="n"/>
      <c r="B316" s="121" t="n"/>
      <c r="C316" s="122" t="n"/>
      <c r="D316" s="35" t="inlineStr">
        <is>
          <t>余额数据管理</t>
        </is>
      </c>
    </row>
    <row r="317">
      <c r="A317" s="121" t="n"/>
      <c r="B317" s="121" t="n"/>
      <c r="C317" s="38" t="inlineStr">
        <is>
          <t>账务管理类服务</t>
        </is>
      </c>
      <c r="D317" s="35" t="inlineStr">
        <is>
          <t>剩余量查询服务</t>
        </is>
      </c>
    </row>
    <row r="318">
      <c r="A318" s="121" t="n"/>
      <c r="B318" s="121" t="n"/>
      <c r="C318" s="121" t="n"/>
      <c r="D318" s="35" t="inlineStr">
        <is>
          <t>托收代扣服务</t>
        </is>
      </c>
    </row>
    <row r="319">
      <c r="A319" s="121" t="n"/>
      <c r="B319" s="121" t="n"/>
      <c r="C319" s="121" t="n"/>
      <c r="D319" s="35" t="inlineStr">
        <is>
          <t>缴费交易服务</t>
        </is>
      </c>
    </row>
    <row r="320">
      <c r="A320" s="121" t="n"/>
      <c r="B320" s="121" t="n"/>
      <c r="C320" s="121" t="n"/>
      <c r="D320" s="35" t="inlineStr">
        <is>
          <t>出账关系服务</t>
        </is>
      </c>
    </row>
    <row r="321">
      <c r="A321" s="121" t="n"/>
      <c r="B321" s="121" t="n"/>
      <c r="C321" s="121" t="n"/>
      <c r="D321" s="35" t="inlineStr">
        <is>
          <t>实时账单查询服务</t>
        </is>
      </c>
    </row>
    <row r="322">
      <c r="A322" s="121" t="n"/>
      <c r="B322" s="121" t="n"/>
      <c r="C322" s="121" t="n"/>
      <c r="D322" s="35" t="inlineStr">
        <is>
          <t>欠费查询服务</t>
        </is>
      </c>
    </row>
    <row r="323">
      <c r="A323" s="121" t="n"/>
      <c r="B323" s="121" t="n"/>
      <c r="C323" s="122" t="n"/>
      <c r="D323" s="35" t="inlineStr">
        <is>
          <t>电子发票查询服务</t>
        </is>
      </c>
    </row>
    <row r="324">
      <c r="A324" s="121" t="n"/>
      <c r="B324" s="121" t="n"/>
      <c r="C324" s="38" t="inlineStr">
        <is>
          <t>积分管理类服务</t>
        </is>
      </c>
      <c r="D324" s="35" t="inlineStr">
        <is>
          <t>积分信息查询服务</t>
        </is>
      </c>
    </row>
    <row r="325">
      <c r="A325" s="121" t="n"/>
      <c r="B325" s="121" t="n"/>
      <c r="C325" s="121" t="n"/>
      <c r="D325" s="35" t="inlineStr">
        <is>
          <t>更新积分信息服务</t>
        </is>
      </c>
    </row>
    <row r="326">
      <c r="A326" s="121" t="n"/>
      <c r="B326" s="121" t="n"/>
      <c r="C326" s="121" t="n"/>
      <c r="D326" s="35" t="inlineStr">
        <is>
          <t>积分账务创建服务</t>
        </is>
      </c>
    </row>
    <row r="327">
      <c r="A327" s="121" t="n"/>
      <c r="B327" s="121" t="n"/>
      <c r="C327" s="121" t="n"/>
      <c r="D327" s="35" t="inlineStr">
        <is>
          <t>积分计划订购服务</t>
        </is>
      </c>
    </row>
    <row r="328">
      <c r="A328" s="121" t="n"/>
      <c r="B328" s="121" t="n"/>
      <c r="C328" s="122" t="n"/>
      <c r="D328" s="35" t="inlineStr">
        <is>
          <t>积分冻结解冻服务</t>
        </is>
      </c>
    </row>
    <row r="329">
      <c r="A329" s="121" t="n"/>
      <c r="B329" s="33" t="n"/>
      <c r="C329" s="38" t="inlineStr">
        <is>
          <t>信用管理类服务</t>
        </is>
      </c>
      <c r="D329" s="35" t="inlineStr">
        <is>
          <t>信用查询服务</t>
        </is>
      </c>
    </row>
    <row r="330">
      <c r="A330" s="121" t="n"/>
      <c r="B330" s="33" t="n"/>
      <c r="C330" s="122" t="n"/>
      <c r="D330" s="35" t="inlineStr">
        <is>
          <t>信用变更服务</t>
        </is>
      </c>
    </row>
    <row r="331">
      <c r="A331" s="121" t="n"/>
      <c r="B331" s="33" t="n"/>
      <c r="C331" s="38" t="inlineStr">
        <is>
          <t>资费类服务</t>
        </is>
      </c>
      <c r="D331" s="35" t="inlineStr">
        <is>
          <t>资费配置服务</t>
        </is>
      </c>
    </row>
    <row r="332">
      <c r="A332" s="121" t="n"/>
      <c r="B332" s="33" t="n"/>
      <c r="C332" s="122" t="n"/>
      <c r="D332" s="35" t="inlineStr">
        <is>
          <t>资费查询服务</t>
        </is>
      </c>
    </row>
    <row r="333">
      <c r="A333" s="121" t="n"/>
      <c r="B333" s="33" t="n"/>
      <c r="C333" s="38" t="inlineStr">
        <is>
          <t>余额管理类服务</t>
        </is>
      </c>
      <c r="D333" s="35" t="inlineStr">
        <is>
          <t>累积量查询服务</t>
        </is>
      </c>
    </row>
    <row r="334">
      <c r="A334" s="121" t="n"/>
      <c r="B334" s="33" t="n"/>
      <c r="C334" s="121" t="n"/>
      <c r="D334" s="35" t="inlineStr">
        <is>
          <t>积累量转赠服务</t>
        </is>
      </c>
    </row>
    <row r="335">
      <c r="A335" s="121" t="n"/>
      <c r="B335" s="33" t="n"/>
      <c r="C335" s="122" t="n"/>
      <c r="D335" s="35" t="inlineStr">
        <is>
          <t>余额查询服务</t>
        </is>
      </c>
    </row>
    <row r="336">
      <c r="A336" s="121" t="n"/>
      <c r="B336" s="119" t="inlineStr">
        <is>
          <t>账详单中心</t>
        </is>
      </c>
      <c r="C336" s="10" t="inlineStr">
        <is>
          <t>详单管理</t>
        </is>
      </c>
      <c r="D336" s="31" t="n"/>
    </row>
    <row r="337">
      <c r="A337" s="121" t="n"/>
      <c r="B337" s="121" t="n"/>
      <c r="C337" s="10" t="inlineStr">
        <is>
          <t>帐单管理</t>
        </is>
      </c>
    </row>
    <row r="338">
      <c r="A338" s="121" t="n"/>
      <c r="B338" s="121" t="n"/>
      <c r="C338" s="10" t="inlineStr">
        <is>
          <t>安全管控</t>
        </is>
      </c>
    </row>
    <row r="339">
      <c r="A339" s="121" t="n"/>
      <c r="B339" s="121" t="n"/>
      <c r="C339" s="10" t="inlineStr">
        <is>
          <t>运维管理</t>
        </is>
      </c>
    </row>
    <row r="340">
      <c r="A340" s="121" t="n"/>
      <c r="B340" s="121" t="n"/>
      <c r="C340" s="10" t="inlineStr">
        <is>
          <t>生产保障</t>
        </is>
      </c>
    </row>
    <row r="341">
      <c r="A341" s="121" t="n"/>
      <c r="B341" s="122" t="n"/>
      <c r="C341" s="16" t="inlineStr">
        <is>
          <t>数据管理</t>
        </is>
      </c>
    </row>
    <row r="342" ht="14.15" customHeight="1" s="52">
      <c r="A342" s="121" t="n"/>
      <c r="B342" s="119" t="inlineStr">
        <is>
          <t>内容计费中心</t>
        </is>
      </c>
      <c r="C342" s="39" t="inlineStr">
        <is>
          <t>基础管理</t>
        </is>
      </c>
    </row>
    <row r="343" ht="14.15" customHeight="1" s="52">
      <c r="A343" s="121" t="n"/>
      <c r="B343" s="121" t="n"/>
      <c r="C343" s="39" t="inlineStr">
        <is>
          <t>产品管理</t>
        </is>
      </c>
    </row>
    <row r="344">
      <c r="A344" s="121" t="n"/>
      <c r="B344" s="121" t="n"/>
      <c r="C344" s="42" t="inlineStr">
        <is>
          <t>鉴权管理</t>
        </is>
      </c>
    </row>
    <row r="345">
      <c r="A345" s="121" t="n"/>
      <c r="B345" s="121" t="n"/>
      <c r="C345" s="42" t="inlineStr">
        <is>
          <t>算费计费</t>
        </is>
      </c>
    </row>
    <row r="346">
      <c r="A346" s="121" t="n"/>
      <c r="B346" s="121" t="n"/>
      <c r="C346" s="42" t="inlineStr">
        <is>
          <t>业务受理</t>
        </is>
      </c>
    </row>
    <row r="347">
      <c r="A347" s="121" t="n"/>
      <c r="B347" s="121" t="n"/>
      <c r="C347" s="42" t="inlineStr">
        <is>
          <t>安管策略</t>
        </is>
      </c>
    </row>
    <row r="348">
      <c r="A348" s="121" t="n"/>
      <c r="B348" s="121" t="n"/>
      <c r="C348" s="42" t="inlineStr">
        <is>
          <t>CP管理</t>
        </is>
      </c>
    </row>
    <row r="349">
      <c r="A349" s="121" t="n"/>
      <c r="B349" s="121" t="n"/>
      <c r="C349" s="42" t="inlineStr">
        <is>
          <t>ITV用户管理</t>
        </is>
      </c>
    </row>
    <row r="350">
      <c r="A350" s="121" t="n"/>
      <c r="B350" s="122" t="n"/>
      <c r="C350" s="42" t="inlineStr">
        <is>
          <t>话单出账</t>
        </is>
      </c>
    </row>
    <row r="351">
      <c r="A351" s="121" t="n"/>
      <c r="B351" s="125" t="inlineStr">
        <is>
          <t>结算中心</t>
        </is>
      </c>
      <c r="C351" s="42" t="inlineStr">
        <is>
          <t>数据源管理</t>
        </is>
      </c>
    </row>
    <row r="352">
      <c r="A352" s="121" t="n"/>
      <c r="B352" s="121" t="n"/>
      <c r="C352" s="42" t="inlineStr">
        <is>
          <t>结算计算管理</t>
        </is>
      </c>
    </row>
    <row r="353">
      <c r="A353" s="121" t="n"/>
      <c r="B353" s="121" t="n"/>
      <c r="C353" s="42" t="inlineStr">
        <is>
          <t>结算过程管理</t>
        </is>
      </c>
    </row>
    <row r="354">
      <c r="A354" s="121" t="n"/>
      <c r="B354" s="121" t="n"/>
      <c r="C354" s="42" t="inlineStr">
        <is>
          <t>结算资料管理</t>
        </is>
      </c>
    </row>
    <row r="355">
      <c r="A355" s="121" t="n"/>
      <c r="B355" s="121" t="n"/>
      <c r="C355" s="42" t="inlineStr">
        <is>
          <t>结算保障管理</t>
        </is>
      </c>
    </row>
    <row r="356">
      <c r="A356" s="121" t="n"/>
      <c r="B356" s="121" t="n"/>
      <c r="C356" s="42" t="inlineStr">
        <is>
          <t>结算报表管理</t>
        </is>
      </c>
    </row>
    <row r="357">
      <c r="A357" s="121" t="n"/>
      <c r="B357" s="122" t="n"/>
      <c r="C357" s="42" t="inlineStr">
        <is>
          <t>多屏清分管理</t>
        </is>
      </c>
    </row>
    <row r="358">
      <c r="A358" s="121" t="n"/>
      <c r="B358" s="119" t="inlineStr">
        <is>
          <t>运营管理中心</t>
        </is>
      </c>
      <c r="C358" s="42" t="inlineStr">
        <is>
          <t>系统管理</t>
        </is>
      </c>
    </row>
    <row r="359" ht="14.15" customHeight="1" s="52">
      <c r="A359" s="121" t="n"/>
      <c r="B359" s="121" t="n"/>
      <c r="C359" s="39" t="inlineStr">
        <is>
          <t>受理认证</t>
        </is>
      </c>
    </row>
    <row r="360">
      <c r="A360" s="121" t="n"/>
      <c r="B360" s="121" t="n"/>
      <c r="C360" s="42" t="inlineStr">
        <is>
          <t>受理结帐</t>
        </is>
      </c>
    </row>
    <row r="361">
      <c r="A361" s="121" t="n"/>
      <c r="B361" s="121" t="n"/>
      <c r="C361" s="42" t="inlineStr">
        <is>
          <t>统一流程</t>
        </is>
      </c>
    </row>
    <row r="362">
      <c r="A362" s="121" t="n"/>
      <c r="B362" s="122" t="n"/>
      <c r="C362" s="42" t="inlineStr">
        <is>
          <t>统一凭证</t>
        </is>
      </c>
    </row>
    <row r="363">
      <c r="A363" s="121" t="n"/>
      <c r="B363" s="119" t="inlineStr">
        <is>
          <t>企业管理</t>
        </is>
      </c>
      <c r="C363" s="42" t="inlineStr">
        <is>
          <t>通用审批平台</t>
        </is>
      </c>
    </row>
    <row r="364">
      <c r="A364" s="121" t="n"/>
      <c r="B364" s="121" t="n"/>
      <c r="C364" s="42" t="inlineStr">
        <is>
          <t>问卷调查</t>
        </is>
      </c>
    </row>
    <row r="365">
      <c r="A365" s="121" t="n"/>
      <c r="B365" s="122" t="n"/>
      <c r="C365" s="42" t="inlineStr">
        <is>
          <t>系统公告</t>
        </is>
      </c>
    </row>
    <row r="366">
      <c r="A366" s="121" t="n"/>
      <c r="B366" s="49" t="inlineStr">
        <is>
          <t>服务中心</t>
        </is>
      </c>
      <c r="C366" s="42" t="inlineStr">
        <is>
          <t>UIDP</t>
        </is>
      </c>
    </row>
    <row r="367">
      <c r="A367" s="121" t="n"/>
      <c r="B367" s="121" t="n"/>
      <c r="C367" s="42" t="inlineStr">
        <is>
          <t>外呼</t>
        </is>
      </c>
    </row>
    <row r="368" ht="14.15" customHeight="1" s="52">
      <c r="A368" s="121" t="n"/>
      <c r="B368" s="121" t="n"/>
      <c r="C368" s="39" t="inlineStr">
        <is>
          <t>集团客户经理短信发送</t>
        </is>
      </c>
    </row>
    <row r="369">
      <c r="A369" s="121" t="n"/>
      <c r="B369" s="121" t="n"/>
      <c r="C369" s="42" t="inlineStr">
        <is>
          <t>支撑辅助平台</t>
        </is>
      </c>
    </row>
    <row r="370">
      <c r="A370" s="121" t="n"/>
      <c r="B370" s="122" t="n"/>
      <c r="C370" s="42" t="inlineStr">
        <is>
          <t>投诉电子工作流</t>
        </is>
      </c>
    </row>
    <row r="371" ht="14.15" customHeight="1" s="52">
      <c r="A371" s="122" t="n"/>
      <c r="B371" s="49" t="inlineStr">
        <is>
          <t>稽核模块</t>
        </is>
      </c>
      <c r="C371" s="39" t="inlineStr">
        <is>
          <t>营收稽核管理</t>
        </is>
      </c>
    </row>
  </sheetData>
  <mergeCells count="83">
    <mergeCell ref="C144:C146"/>
    <mergeCell ref="C312:C316"/>
    <mergeCell ref="B358:B362"/>
    <mergeCell ref="B34:B91"/>
    <mergeCell ref="C147:C150"/>
    <mergeCell ref="C98:C103"/>
    <mergeCell ref="B201:B249"/>
    <mergeCell ref="A29:A33"/>
    <mergeCell ref="B147:B179"/>
    <mergeCell ref="C94:C97"/>
    <mergeCell ref="C38:C42"/>
    <mergeCell ref="B271:B328"/>
    <mergeCell ref="C58:C60"/>
    <mergeCell ref="C89:C91"/>
    <mergeCell ref="C138:C143"/>
    <mergeCell ref="B351:B357"/>
    <mergeCell ref="C324:C328"/>
    <mergeCell ref="C293:C300"/>
    <mergeCell ref="C34:C37"/>
    <mergeCell ref="C151:C154"/>
    <mergeCell ref="C223:C227"/>
    <mergeCell ref="C61:C65"/>
    <mergeCell ref="A34:A371"/>
    <mergeCell ref="C191:C194"/>
    <mergeCell ref="C56:C57"/>
    <mergeCell ref="C329:C330"/>
    <mergeCell ref="C120:C121"/>
    <mergeCell ref="B92:B146"/>
    <mergeCell ref="C331:C332"/>
    <mergeCell ref="C46:C49"/>
    <mergeCell ref="C106:C109"/>
    <mergeCell ref="C156:C169"/>
    <mergeCell ref="C124:C126"/>
    <mergeCell ref="C333:C335"/>
    <mergeCell ref="C87:C88"/>
    <mergeCell ref="C117:C119"/>
    <mergeCell ref="C188:C190"/>
    <mergeCell ref="C77:C80"/>
    <mergeCell ref="C301:C303"/>
    <mergeCell ref="C110:C112"/>
    <mergeCell ref="B29:B33"/>
    <mergeCell ref="C113:C114"/>
    <mergeCell ref="B363:B365"/>
    <mergeCell ref="C195:C200"/>
    <mergeCell ref="C72:C74"/>
    <mergeCell ref="C170:C179"/>
    <mergeCell ref="C285:C292"/>
    <mergeCell ref="C44:C45"/>
    <mergeCell ref="C115:C116"/>
    <mergeCell ref="C180:C183"/>
    <mergeCell ref="C271:C274"/>
    <mergeCell ref="B2:B16"/>
    <mergeCell ref="B24:B28"/>
    <mergeCell ref="C238:C243"/>
    <mergeCell ref="C50:C55"/>
    <mergeCell ref="C122:C123"/>
    <mergeCell ref="B366:B370"/>
    <mergeCell ref="B17:B19"/>
    <mergeCell ref="B20:B23"/>
    <mergeCell ref="C280:C284"/>
    <mergeCell ref="C81:C86"/>
    <mergeCell ref="C228:C230"/>
    <mergeCell ref="C184:C187"/>
    <mergeCell ref="C201:C207"/>
    <mergeCell ref="C104:C105"/>
    <mergeCell ref="A2:A28"/>
    <mergeCell ref="B336:B341"/>
    <mergeCell ref="B342:B350"/>
    <mergeCell ref="C244:C248"/>
    <mergeCell ref="B250:B260"/>
    <mergeCell ref="C75:C76"/>
    <mergeCell ref="C127:C128"/>
    <mergeCell ref="B261:B270"/>
    <mergeCell ref="C304:C306"/>
    <mergeCell ref="C307:C311"/>
    <mergeCell ref="C317:C323"/>
    <mergeCell ref="C132:C137"/>
    <mergeCell ref="C275:C279"/>
    <mergeCell ref="C66:C71"/>
    <mergeCell ref="C231:C237"/>
    <mergeCell ref="C208:C222"/>
    <mergeCell ref="C129:C131"/>
    <mergeCell ref="C92:C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Young</dc:creator>
  <dcterms:created xmlns:dcterms="http://purl.org/dc/terms/" xmlns:xsi="http://www.w3.org/2001/XMLSchema-instance" xsi:type="dcterms:W3CDTF">2015-06-07T02:19:00Z</dcterms:created>
  <dcterms:modified xmlns:dcterms="http://purl.org/dc/terms/" xmlns:xsi="http://www.w3.org/2001/XMLSchema-instance" xsi:type="dcterms:W3CDTF">2026-05-29T08:10:58Z</dcterms:modified>
  <cp:lastModifiedBy>叮当猫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FA34AD29C2CC42F5BD7F29A46BF5306B_13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